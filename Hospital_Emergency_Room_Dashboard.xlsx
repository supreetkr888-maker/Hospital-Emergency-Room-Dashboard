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C\Downloads\supreet python\"/>
    </mc:Choice>
  </mc:AlternateContent>
  <xr:revisionPtr revIDLastSave="0" documentId="8_{08A0B293-6E08-440E-99D8-EADFDB0BAFCF}" xr6:coauthVersionLast="47" xr6:coauthVersionMax="47" xr10:uidLastSave="{00000000-0000-0000-0000-000000000000}"/>
  <bookViews>
    <workbookView xWindow="-120" yWindow="-120" windowWidth="29040" windowHeight="15720" firstSheet="1" activeTab="1" xr2:uid="{23CD81ED-E604-4259-B403-0A0B8FF5E6A9}"/>
  </bookViews>
  <sheets>
    <sheet name="Pivot Report" sheetId="1" state="hidden" r:id="rId1"/>
    <sheet name="Dashboard" sheetId="2" r:id="rId2"/>
    <sheet name="Satisfaction score daily trend" sheetId="7" r:id="rId3"/>
    <sheet name="Average waittime daily trend" sheetId="5" r:id="rId4"/>
    <sheet name="Daily ER No of Patients" sheetId="3" r:id="rId5"/>
  </sheets>
  <definedNames>
    <definedName name="Slicer_Date__Month">#N/A</definedName>
    <definedName name="Slicer_Date__Year">#N/A</definedName>
  </definedNames>
  <calcPr calcId="181029"/>
  <pivotCaches>
    <pivotCache cacheId="807" r:id="rId6"/>
    <pivotCache cacheId="810" r:id="rId7"/>
    <pivotCache cacheId="813" r:id="rId8"/>
    <pivotCache cacheId="816" r:id="rId9"/>
    <pivotCache cacheId="819" r:id="rId10"/>
    <pivotCache cacheId="822" r:id="rId11"/>
    <pivotCache cacheId="825" r:id="rId12"/>
    <pivotCache cacheId="828" r:id="rId13"/>
    <pivotCache cacheId="831" r:id="rId14"/>
    <pivotCache cacheId="834" r:id="rId15"/>
    <pivotCache cacheId="837" r:id="rId16"/>
    <pivotCache cacheId="84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98b8475-505b-4dbc-bd45-ea4a13c8552e" name="Hospital Emergency Room Data" connection="Query - Hospital Emergency Room Data"/>
          <x15:modelTable id="Calendar_Table_2ada6b69-8555-40bf-9f19-9554cf2dd23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C65" i="1" l="1"/>
  <c r="D65" i="1"/>
  <c r="C64" i="1"/>
  <c r="D64" i="1"/>
  <c r="B64" i="1"/>
  <c r="B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52AC08-1DE8-45F7-BC4E-387A4589DD7F}" name="Query - Calendar_Table" description="Connection to the 'Calendar_Table' query in the workbook." type="100" refreshedVersion="8" minRefreshableVersion="5">
    <extLst>
      <ext xmlns:x15="http://schemas.microsoft.com/office/spreadsheetml/2010/11/main" uri="{DE250136-89BD-433C-8126-D09CA5730AF9}">
        <x15:connection id="b9e78ba4-dbdd-47dc-9246-6e7bb42b4d87"/>
      </ext>
    </extLst>
  </connection>
  <connection id="2" xr16:uid="{E4AE1A8E-2FD5-4A4D-AB34-4434FC63066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d892b23-f540-460e-90f5-155e62c555d0"/>
      </ext>
    </extLst>
  </connection>
  <connection id="3" xr16:uid="{628C33CB-F362-453E-85BB-B9AF0394FAC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<sst xmlns="http://schemas.openxmlformats.org/spreadsheetml/2006/main" count="152" uniqueCount="71">
  <si>
    <t>Distinct Count of Patient Id</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</si>
  <si>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</si>
  <si>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</si>
  <si>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</si>
  <si>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</si>
  <si>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</si>
  <si>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</si>
  <si>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</si>
  <si>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</si>
  <si>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</si>
  <si>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</si>
  <si>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</si>
  <si>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</si>
  <si>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</si>
  <si>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</si>
  <si>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</si>
  <si>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</si>
  <si>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</si>
  <si>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</si>
  <si>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</si>
  <si>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</si>
  <si>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</si>
  <si>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</si>
  <si>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</si>
  <si>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</si>
  <si>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</si>
  <si>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</si>
  <si>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</si>
  <si>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</si>
  <si>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</si>
  <si>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</si>
  <si>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</si>
  <si>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</si>
  <si>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</si>
  <si>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</si>
  <si>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</si>
  <si>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Showing a daily trend with an area sparkline to spot patterns like busy days or seasonal trends.</t>
  </si>
  <si>
    <t>Male</t>
  </si>
  <si>
    <t>None</t>
  </si>
  <si>
    <t>Admitted</t>
  </si>
  <si>
    <t>20-29</t>
  </si>
  <si>
    <t>On-Time</t>
  </si>
  <si>
    <t>0-09</t>
  </si>
  <si>
    <t>Delay</t>
  </si>
  <si>
    <t>40-49</t>
  </si>
  <si>
    <t>30-39</t>
  </si>
  <si>
    <t>10-19</t>
  </si>
  <si>
    <t>60-69</t>
  </si>
  <si>
    <t>50-59</t>
  </si>
  <si>
    <t>70-79</t>
  </si>
  <si>
    <t>Female</t>
  </si>
  <si>
    <t>Not Admitted</t>
  </si>
  <si>
    <t>General Practice</t>
  </si>
  <si>
    <t>Orthopedics</t>
  </si>
  <si>
    <t>Physiotherapy</t>
  </si>
  <si>
    <t>Cardiology</t>
  </si>
  <si>
    <t>Neurology</t>
  </si>
  <si>
    <t>Gastroenterology</t>
  </si>
  <si>
    <t>Renal</t>
  </si>
  <si>
    <t>An area chart to track daily changes and highlight days with longer wait times that might need improvement</t>
  </si>
  <si>
    <t>An area chart to show trends,spot drops in satisfaction,and link them to busy time or challenges</t>
  </si>
  <si>
    <t>Count of Patient Admission Flag</t>
  </si>
  <si>
    <t>Count of Patient Admission Flag2</t>
  </si>
  <si>
    <t>Admission Status</t>
  </si>
  <si>
    <t>No. of Patients</t>
  </si>
  <si>
    <t>% Status</t>
  </si>
  <si>
    <t>Count of Age - Group</t>
  </si>
  <si>
    <t>Count of Calculated Column 1</t>
  </si>
  <si>
    <t>Count of Patient Gender</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</si>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</sst>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7" x14ac:knownFonts="1">
    <font>
      <sz val="11"/>
      <color theme="1"/>
      <name val="Calibri"/>
      <family val="2"/>
      <scheme val="minor"/>
    </font>
    <font>
      <b/>
      <sz val="18"/>
      <color theme="1"/>
      <name val="Aptos Narrow"/>
      <family val="2"/>
    </font>
    <font>
      <sz val="11"/>
      <color theme="1"/>
      <name val="Calibri"/>
      <family val="2"/>
      <scheme val="minor"/>
    </font>
    <font>
      <b/>
      <sz val="12"/>
      <color theme="1"/>
      <name val="Aptos Narrow"/>
      <family val="2"/>
    </font>
    <font>
      <sz val="18"/>
      <color theme="1"/>
      <name val="Calibri"/>
      <family val="2"/>
      <scheme val="minor"/>
    </font>
    <font>
      <sz val="11"/>
      <color theme="1"/>
      <name val="Aptos Narrow"/>
      <family val="2"/>
    </font>
    <font>
      <sz val="8"/>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64"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0" fontId="4" fillId="3" borderId="0" xfId="0" applyFont="1" applyFill="1"/>
    <xf numFmtId="10" fontId="0" fillId="0" borderId="0" xfId="0" applyNumberFormat="1"/>
    <xf numFmtId="0" fontId="3" fillId="4" borderId="0" xfId="0" applyFont="1" applyFill="1"/>
    <xf numFmtId="0" fontId="5" fillId="5" borderId="0" xfId="0" applyFont="1" applyFill="1"/>
    <xf numFmtId="9" fontId="5" fillId="5" borderId="0" xfId="1" applyFont="1" applyFill="1"/>
    <xf numFmtId="1" fontId="0" fillId="0" borderId="0" xfId="0" applyNumberFormat="1"/>
    <xf numFmtId="0" fontId="0" fillId="0" borderId="0" xfId="0" applyNumberFormat="1"/>
  </cellXfs>
  <cellStyles count="2">
    <cellStyle name="Normal" xfId="0" builtinId="0"/>
    <cellStyle name="Percent" xfId="1" builtinId="5"/>
  </cellStyles>
  <dxfs count="291">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64" formatCode="0.00;[Red]0.00"/>
    </dxf>
    <dxf>
      <numFmt numFmtId="164" formatCode="0.00;[Red]0.00"/>
    </dxf>
    <dxf>
      <numFmt numFmtId="2" formatCode="0.00"/>
    </dxf>
    <dxf>
      <numFmt numFmtId="14" formatCode="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164" formatCode="0.00;[Red]0.00"/>
    </dxf>
    <dxf>
      <numFmt numFmtId="164" formatCode="0.00;[Red]0.00"/>
    </dxf>
    <dxf>
      <numFmt numFmtId="2" formatCode="0.00"/>
    </dxf>
    <dxf>
      <numFmt numFmtId="14" formatCode="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4" formatCode="0.00;[Red]0.00"/>
    </dxf>
    <dxf>
      <numFmt numFmtId="164" formatCode="0.00;[Red]0.00"/>
    </dxf>
    <dxf>
      <numFmt numFmtId="164" formatCode="0.00;[Red]0.00"/>
    </dxf>
    <dxf>
      <numFmt numFmtId="164" formatCode="0.00;[Red]0.00"/>
    </dxf>
    <dxf>
      <numFmt numFmtId="2" formatCode="0.00"/>
    </dxf>
    <dxf>
      <numFmt numFmtId="14" formatCode="0.00%"/>
    </dxf>
    <dxf>
      <numFmt numFmtId="2" formatCode="0.00"/>
    </dxf>
    <dxf>
      <numFmt numFmtId="1" formatCode="0"/>
    </dxf>
    <dxf>
      <numFmt numFmtId="1" formatCode="0"/>
    </dxf>
    <dxf>
      <numFmt numFmtId="164" formatCode="0.00;[Red]0.00"/>
    </dxf>
    <dxf>
      <numFmt numFmtId="164" formatCode="0.00;[Red]0.00"/>
    </dxf>
    <dxf>
      <numFmt numFmtId="164" formatCode="0.00;[Red]0.00"/>
    </dxf>
    <dxf>
      <numFmt numFmtId="164" formatCode="0.00;[Red]0.00"/>
    </dxf>
    <dxf>
      <numFmt numFmtId="1" formatCode="0"/>
    </dxf>
    <dxf>
      <numFmt numFmtId="2" formatCode="0.00"/>
    </dxf>
    <dxf>
      <numFmt numFmtId="1" formatCode="0"/>
    </dxf>
    <dxf>
      <numFmt numFmtId="1" formatCode="0"/>
    </dxf>
    <dxf>
      <font>
        <b/>
        <color theme="1"/>
      </font>
      <border>
        <bottom style="thin">
          <color theme="0" tint="-0.34998626667073579"/>
        </bottom>
        <vertical/>
        <horizontal/>
      </border>
    </dxf>
    <dxf>
      <font>
        <color theme="1"/>
        <name val="Aptos Narrow"/>
        <family val="2"/>
        <scheme val="none"/>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 pivot="0" table="0" count="10" xr9:uid="{DE4329D7-7F9A-411D-A15D-F1913D6D9A2E}">
      <tableStyleElement type="wholeTable" dxfId="290"/>
      <tableStyleElement type="headerRow" dxfId="28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6BD4BC-DE3B-451F-ABF4-A42E77784AD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93D007-ADE8-4963-9FB0-878E96B1E3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93D007-ADE8-4963-9FB0-878E96B1E3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6BD4BC-DE3B-451F-ABF4-A42E77784AD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47625">
            <a:solidFill>
              <a:schemeClr val="accent1"/>
            </a:solidFill>
          </a:ln>
          <a:effectLst/>
        </c:spPr>
        <c:marker>
          <c:symbol val="none"/>
        </c:marker>
        <c:dLbl>
          <c:idx val="0"/>
          <c:spPr>
            <a:noFill/>
            <a:ln w="0">
              <a:noFill/>
            </a:ln>
            <a:effectLst/>
          </c:spPr>
          <c:txPr>
            <a:bodyPr rot="0" spcFirstLastPara="1" vertOverflow="ellipsis" vert="horz" wrap="square" lIns="0" tIns="3600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9"/>
        <c:spPr>
          <a:solidFill>
            <a:schemeClr val="accent1"/>
          </a:solidFill>
          <a:ln w="47625">
            <a:solidFill>
              <a:schemeClr val="accent1"/>
            </a:solidFill>
          </a:ln>
          <a:effectLst/>
        </c:spPr>
        <c:dLbl>
          <c:idx val="0"/>
          <c:layout>
            <c:manualLayout>
              <c:x val="-4.4364908931838068E-3"/>
              <c:y val="-7.3626994166862611E-17"/>
            </c:manualLayout>
          </c:layout>
          <c:spPr>
            <a:noFill/>
            <a:ln w="0">
              <a:noFill/>
            </a:ln>
            <a:effectLst/>
          </c:spPr>
          <c:txPr>
            <a:bodyPr rot="0" spcFirstLastPara="1" vertOverflow="ellipsis" vert="horz" wrap="square" lIns="0" tIns="3600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0"/>
        <c:spPr>
          <a:solidFill>
            <a:schemeClr val="accent1"/>
          </a:solidFill>
          <a:ln w="47625">
            <a:solidFill>
              <a:schemeClr val="accent1"/>
            </a:solidFill>
          </a:ln>
          <a:effectLst/>
        </c:spPr>
        <c:dLbl>
          <c:idx val="0"/>
          <c:layout>
            <c:manualLayout>
              <c:x val="-7.0362416819109736E-4"/>
              <c:y val="1.6064257028112448E-2"/>
            </c:manualLayout>
          </c:layout>
          <c:spPr>
            <a:noFill/>
            <a:ln w="0">
              <a:noFill/>
            </a:ln>
            <a:effectLst/>
          </c:spPr>
          <c:txPr>
            <a:bodyPr rot="0" spcFirstLastPara="1" vertOverflow="ellipsis" vert="horz" wrap="square" lIns="0" tIns="3600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8074975476550284E-2"/>
          <c:y val="6.7633230628780086E-2"/>
          <c:w val="0.81225748296614442"/>
          <c:h val="0.81818181818181823"/>
        </c:manualLayout>
      </c:layout>
      <c:barChart>
        <c:barDir val="bar"/>
        <c:grouping val="clustered"/>
        <c:varyColors val="0"/>
        <c:ser>
          <c:idx val="0"/>
          <c:order val="0"/>
          <c:tx>
            <c:strRef>
              <c:f>'Pivot Report'!$B$56</c:f>
              <c:strCache>
                <c:ptCount val="1"/>
                <c:pt idx="0">
                  <c:v>Count of Patient Admission Flag</c:v>
                </c:pt>
              </c:strCache>
            </c:strRef>
          </c:tx>
          <c:spPr>
            <a:solidFill>
              <a:schemeClr val="accent1"/>
            </a:solidFill>
            <a:ln w="47625">
              <a:solidFill>
                <a:schemeClr val="accent1"/>
              </a:solidFill>
            </a:ln>
            <a:effectLst/>
          </c:spPr>
          <c:invertIfNegative val="0"/>
          <c:dPt>
            <c:idx val="0"/>
            <c:invertIfNegative val="0"/>
            <c:bubble3D val="0"/>
          </c:dPt>
          <c:dPt>
            <c:idx val="1"/>
            <c:invertIfNegative val="0"/>
            <c:bubble3D val="0"/>
          </c:dPt>
          <c:dLbls>
            <c:dLbl>
              <c:idx val="0"/>
              <c:layout>
                <c:manualLayout>
                  <c:x val="-4.4364908931838068E-3"/>
                  <c:y val="-7.3626994166862611E-17"/>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dLbl>
              <c:idx val="1"/>
              <c:layout>
                <c:manualLayout>
                  <c:x val="-7.0362416819109736E-4"/>
                  <c:y val="1.6064257028112448E-2"/>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spPr>
              <a:noFill/>
              <a:ln w="0">
                <a:noFill/>
              </a:ln>
              <a:effectLst/>
            </c:spPr>
            <c:txPr>
              <a:bodyPr rot="0" spcFirstLastPara="1" vertOverflow="ellipsis" vert="horz" wrap="square" lIns="0" tIns="3600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Report'!$A$57:$A$59</c:f>
              <c:strCache>
                <c:ptCount val="2"/>
                <c:pt idx="0">
                  <c:v>Admitted</c:v>
                </c:pt>
                <c:pt idx="1">
                  <c:v>Not Admitted</c:v>
                </c:pt>
              </c:strCache>
            </c:strRef>
          </c:cat>
          <c:val>
            <c:numRef>
              <c:f>'Pivot Report'!$B$57:$B$59</c:f>
              <c:numCache>
                <c:formatCode>0.00</c:formatCode>
                <c:ptCount val="2"/>
                <c:pt idx="0">
                  <c:v>269</c:v>
                </c:pt>
                <c:pt idx="1">
                  <c:v>244</c:v>
                </c:pt>
              </c:numCache>
            </c:numRef>
          </c:val>
          <c:extLst>
            <c:ext xmlns:c16="http://schemas.microsoft.com/office/drawing/2014/chart" uri="{C3380CC4-5D6E-409C-BE32-E72D297353CC}">
              <c16:uniqueId val="{00000002-1A93-4787-A6CA-ADE8FF1B22AA}"/>
            </c:ext>
          </c:extLst>
        </c:ser>
        <c:ser>
          <c:idx val="1"/>
          <c:order val="1"/>
          <c:tx>
            <c:strRef>
              <c:f>'Pivot Report'!$C$56</c:f>
              <c:strCache>
                <c:ptCount val="1"/>
                <c:pt idx="0">
                  <c:v>Count of Patient Admission Flag2</c:v>
                </c:pt>
              </c:strCache>
            </c:strRef>
          </c:tx>
          <c:spPr>
            <a:solidFill>
              <a:schemeClr val="accent2"/>
            </a:solidFill>
            <a:ln>
              <a:noFill/>
            </a:ln>
            <a:effectLst/>
          </c:spPr>
          <c:invertIfNegative val="0"/>
          <c:cat>
            <c:strRef>
              <c:f>'Pivot Report'!$A$57:$A$59</c:f>
              <c:strCache>
                <c:ptCount val="2"/>
                <c:pt idx="0">
                  <c:v>Admitted</c:v>
                </c:pt>
                <c:pt idx="1">
                  <c:v>Not Admitted</c:v>
                </c:pt>
              </c:strCache>
            </c:strRef>
          </c:cat>
          <c:val>
            <c:numRef>
              <c:f>'Pivot Report'!$C$57:$C$59</c:f>
              <c:numCache>
                <c:formatCode>0.00%</c:formatCode>
                <c:ptCount val="2"/>
                <c:pt idx="0">
                  <c:v>0.52436647173489281</c:v>
                </c:pt>
                <c:pt idx="1">
                  <c:v>0.47563352826510719</c:v>
                </c:pt>
              </c:numCache>
            </c:numRef>
          </c:val>
          <c:extLst>
            <c:ext xmlns:c16="http://schemas.microsoft.com/office/drawing/2014/chart" uri="{C3380CC4-5D6E-409C-BE32-E72D297353CC}">
              <c16:uniqueId val="{00000003-1A93-4787-A6CA-ADE8FF1B22AA}"/>
            </c:ext>
          </c:extLst>
        </c:ser>
        <c:dLbls>
          <c:showLegendKey val="0"/>
          <c:showVal val="0"/>
          <c:showCatName val="0"/>
          <c:showSerName val="0"/>
          <c:showPercent val="0"/>
          <c:showBubbleSize val="0"/>
        </c:dLbls>
        <c:gapWidth val="500"/>
        <c:axId val="500202287"/>
        <c:axId val="2115866447"/>
      </c:barChart>
      <c:catAx>
        <c:axId val="500202287"/>
        <c:scaling>
          <c:orientation val="minMax"/>
        </c:scaling>
        <c:delete val="1"/>
        <c:axPos val="l"/>
        <c:numFmt formatCode="General" sourceLinked="1"/>
        <c:majorTickMark val="none"/>
        <c:minorTickMark val="none"/>
        <c:tickLblPos val="nextTo"/>
        <c:crossAx val="2115866447"/>
        <c:crosses val="autoZero"/>
        <c:auto val="1"/>
        <c:lblAlgn val="ctr"/>
        <c:lblOffset val="100"/>
        <c:noMultiLvlLbl val="0"/>
      </c:catAx>
      <c:valAx>
        <c:axId val="2115866447"/>
        <c:scaling>
          <c:orientation val="minMax"/>
        </c:scaling>
        <c:delete val="1"/>
        <c:axPos val="b"/>
        <c:numFmt formatCode="0.00" sourceLinked="1"/>
        <c:majorTickMark val="none"/>
        <c:minorTickMark val="none"/>
        <c:tickLblPos val="nextTo"/>
        <c:crossAx val="50020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3089513745717939"/>
          <c:w val="1"/>
          <c:h val="0.56795140704772507"/>
        </c:manualLayout>
      </c:layout>
      <c:areaChart>
        <c:grouping val="standard"/>
        <c:varyColors val="0"/>
        <c:ser>
          <c:idx val="0"/>
          <c:order val="0"/>
          <c:tx>
            <c:strRef>
              <c:f>'Pivot Report'!$B$18</c:f>
              <c:strCache>
                <c:ptCount val="1"/>
                <c:pt idx="0">
                  <c:v>Total</c:v>
                </c:pt>
              </c:strCache>
            </c:strRef>
          </c:tx>
          <c:spPr>
            <a:solidFill>
              <a:schemeClr val="accent1">
                <a:lumMod val="75000"/>
              </a:schemeClr>
            </a:solidFill>
            <a:ln w="25400">
              <a:noFill/>
            </a:ln>
            <a:effectLst/>
          </c:spPr>
          <c:cat>
            <c:strRef>
              <c:f>'Pivot Report'!$A$19:$A$50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Report'!$B$19:$B$50</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AA42-4FA5-92C4-9266D6FABE9A}"/>
            </c:ext>
          </c:extLst>
        </c:ser>
        <c:dLbls>
          <c:showLegendKey val="0"/>
          <c:showVal val="0"/>
          <c:showCatName val="0"/>
          <c:showSerName val="0"/>
          <c:showPercent val="0"/>
          <c:showBubbleSize val="0"/>
        </c:dLbls>
        <c:axId val="1199602879"/>
        <c:axId val="1199613439"/>
      </c:areaChart>
      <c:catAx>
        <c:axId val="1199602879"/>
        <c:scaling>
          <c:orientation val="minMax"/>
        </c:scaling>
        <c:delete val="1"/>
        <c:axPos val="b"/>
        <c:numFmt formatCode="General" sourceLinked="1"/>
        <c:majorTickMark val="out"/>
        <c:minorTickMark val="none"/>
        <c:tickLblPos val="nextTo"/>
        <c:crossAx val="1199613439"/>
        <c:crosses val="autoZero"/>
        <c:auto val="1"/>
        <c:lblAlgn val="ctr"/>
        <c:lblOffset val="100"/>
        <c:noMultiLvlLbl val="0"/>
      </c:catAx>
      <c:valAx>
        <c:axId val="1199613439"/>
        <c:scaling>
          <c:orientation val="minMax"/>
        </c:scaling>
        <c:delete val="1"/>
        <c:axPos val="l"/>
        <c:numFmt formatCode="General" sourceLinked="1"/>
        <c:majorTickMark val="none"/>
        <c:minorTickMark val="none"/>
        <c:tickLblPos val="nextTo"/>
        <c:crossAx val="119960287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37944730753574E-2"/>
          <c:y val="0.25302392300759774"/>
          <c:w val="0.89911326918684908"/>
          <c:h val="0.58325471504630966"/>
        </c:manualLayout>
      </c:layout>
      <c:areaChart>
        <c:grouping val="standard"/>
        <c:varyColors val="0"/>
        <c:ser>
          <c:idx val="0"/>
          <c:order val="0"/>
          <c:tx>
            <c:strRef>
              <c:f>'Pivot Report'!$E$18</c:f>
              <c:strCache>
                <c:ptCount val="1"/>
                <c:pt idx="0">
                  <c:v>Total</c:v>
                </c:pt>
              </c:strCache>
            </c:strRef>
          </c:tx>
          <c:spPr>
            <a:solidFill>
              <a:schemeClr val="accent1">
                <a:lumMod val="75000"/>
              </a:schemeClr>
            </a:solidFill>
            <a:ln w="25400">
              <a:noFill/>
            </a:ln>
            <a:effectLst/>
          </c:spPr>
          <c:cat>
            <c:strRef>
              <c:f>'Pivot Report'!$D$19:$D$50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Report'!$E$19:$E$50</c:f>
              <c:numCache>
                <c:formatCode>0.00;[Red]0.00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3D9-47CB-9528-F1A6FD3B5D84}"/>
            </c:ext>
          </c:extLst>
        </c:ser>
        <c:dLbls>
          <c:showLegendKey val="0"/>
          <c:showVal val="0"/>
          <c:showCatName val="0"/>
          <c:showSerName val="0"/>
          <c:showPercent val="0"/>
          <c:showBubbleSize val="0"/>
        </c:dLbls>
        <c:axId val="1955334431"/>
        <c:axId val="1955332511"/>
      </c:areaChart>
      <c:catAx>
        <c:axId val="1955334431"/>
        <c:scaling>
          <c:orientation val="minMax"/>
        </c:scaling>
        <c:delete val="1"/>
        <c:axPos val="b"/>
        <c:numFmt formatCode="General" sourceLinked="1"/>
        <c:majorTickMark val="out"/>
        <c:minorTickMark val="none"/>
        <c:tickLblPos val="nextTo"/>
        <c:crossAx val="1955332511"/>
        <c:crosses val="autoZero"/>
        <c:auto val="1"/>
        <c:lblAlgn val="ctr"/>
        <c:lblOffset val="100"/>
        <c:noMultiLvlLbl val="0"/>
      </c:catAx>
      <c:valAx>
        <c:axId val="1955332511"/>
        <c:scaling>
          <c:orientation val="minMax"/>
        </c:scaling>
        <c:delete val="1"/>
        <c:axPos val="l"/>
        <c:numFmt formatCode="0.00;[Red]0.00" sourceLinked="1"/>
        <c:majorTickMark val="none"/>
        <c:minorTickMark val="none"/>
        <c:tickLblPos val="nextTo"/>
        <c:crossAx val="1955334431"/>
        <c:crosses val="autoZero"/>
        <c:crossBetween val="midCat"/>
      </c:valAx>
      <c:spPr>
        <a:solidFill>
          <a:schemeClr val="bg1">
            <a:lumMod val="9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4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9036345212325474E-2"/>
          <c:y val="0.46077139390124205"/>
          <c:w val="0.788690562666163"/>
          <c:h val="0.48663168488231956"/>
        </c:manualLayout>
      </c:layout>
      <c:areaChart>
        <c:grouping val="standard"/>
        <c:varyColors val="0"/>
        <c:ser>
          <c:idx val="0"/>
          <c:order val="0"/>
          <c:tx>
            <c:strRef>
              <c:f>'Pivot Report'!$I$18</c:f>
              <c:strCache>
                <c:ptCount val="1"/>
                <c:pt idx="0">
                  <c:v>Total</c:v>
                </c:pt>
              </c:strCache>
            </c:strRef>
          </c:tx>
          <c:spPr>
            <a:solidFill>
              <a:schemeClr val="accent1">
                <a:lumMod val="75000"/>
              </a:schemeClr>
            </a:solidFill>
            <a:ln w="25400">
              <a:noFill/>
            </a:ln>
            <a:effectLst/>
          </c:spPr>
          <c:cat>
            <c:strRef>
              <c:f>'Pivot Report'!$H$19:$H$50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Report'!$I$19:$I$50</c:f>
              <c:numCache>
                <c:formatCode>0.00;[Red]0.00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3BC5-496B-B058-EBE2A4F43DC6}"/>
            </c:ext>
          </c:extLst>
        </c:ser>
        <c:dLbls>
          <c:showLegendKey val="0"/>
          <c:showVal val="0"/>
          <c:showCatName val="0"/>
          <c:showSerName val="0"/>
          <c:showPercent val="0"/>
          <c:showBubbleSize val="0"/>
        </c:dLbls>
        <c:axId val="2120010623"/>
        <c:axId val="2120010143"/>
      </c:areaChart>
      <c:catAx>
        <c:axId val="2120010623"/>
        <c:scaling>
          <c:orientation val="minMax"/>
        </c:scaling>
        <c:delete val="1"/>
        <c:axPos val="b"/>
        <c:numFmt formatCode="General" sourceLinked="1"/>
        <c:majorTickMark val="out"/>
        <c:minorTickMark val="none"/>
        <c:tickLblPos val="nextTo"/>
        <c:crossAx val="2120010143"/>
        <c:crosses val="autoZero"/>
        <c:auto val="1"/>
        <c:lblAlgn val="ctr"/>
        <c:lblOffset val="100"/>
        <c:noMultiLvlLbl val="0"/>
      </c:catAx>
      <c:valAx>
        <c:axId val="2120010143"/>
        <c:scaling>
          <c:orientation val="minMax"/>
        </c:scaling>
        <c:delete val="1"/>
        <c:axPos val="l"/>
        <c:numFmt formatCode="0.00;[Red]0.00" sourceLinked="1"/>
        <c:majorTickMark val="none"/>
        <c:minorTickMark val="none"/>
        <c:tickLblPos val="nextTo"/>
        <c:crossAx val="2120010623"/>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6"/>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24785241003346E-2"/>
          <c:y val="4.7248318152655018E-2"/>
          <c:w val="0.91904273678621196"/>
          <c:h val="0.80156450443887295"/>
        </c:manualLayout>
      </c:layout>
      <c:barChart>
        <c:barDir val="col"/>
        <c:grouping val="clustered"/>
        <c:varyColors val="0"/>
        <c:ser>
          <c:idx val="0"/>
          <c:order val="0"/>
          <c:tx>
            <c:strRef>
              <c:f>'Pivot Report'!$B$69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Report'!$A$70:$A$78</c:f>
              <c:strCache>
                <c:ptCount val="8"/>
                <c:pt idx="0">
                  <c:v>0-09</c:v>
                </c:pt>
                <c:pt idx="1">
                  <c:v>10-19</c:v>
                </c:pt>
                <c:pt idx="2">
                  <c:v>20-29</c:v>
                </c:pt>
                <c:pt idx="3">
                  <c:v>30-39</c:v>
                </c:pt>
                <c:pt idx="4">
                  <c:v>40-49</c:v>
                </c:pt>
                <c:pt idx="5">
                  <c:v>50-59</c:v>
                </c:pt>
                <c:pt idx="6">
                  <c:v>60-69</c:v>
                </c:pt>
                <c:pt idx="7">
                  <c:v>70-79</c:v>
                </c:pt>
              </c:strCache>
            </c:strRef>
          </c:cat>
          <c:val>
            <c:numRef>
              <c:f>'Pivot Report'!$B$70:$B$78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9163-4895-944D-5D3832FE02BD}"/>
            </c:ext>
          </c:extLst>
        </c:ser>
        <c:dLbls>
          <c:showLegendKey val="0"/>
          <c:showVal val="0"/>
          <c:showCatName val="0"/>
          <c:showSerName val="0"/>
          <c:showPercent val="0"/>
          <c:showBubbleSize val="0"/>
        </c:dLbls>
        <c:gapWidth val="219"/>
        <c:overlap val="-27"/>
        <c:axId val="1571014767"/>
        <c:axId val="1571011887"/>
      </c:barChart>
      <c:catAx>
        <c:axId val="157101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11887"/>
        <c:crosses val="autoZero"/>
        <c:auto val="1"/>
        <c:lblAlgn val="ctr"/>
        <c:lblOffset val="100"/>
        <c:noMultiLvlLbl val="0"/>
      </c:catAx>
      <c:valAx>
        <c:axId val="1571011887"/>
        <c:scaling>
          <c:orientation val="minMax"/>
        </c:scaling>
        <c:delete val="1"/>
        <c:axPos val="l"/>
        <c:numFmt formatCode="0" sourceLinked="1"/>
        <c:majorTickMark val="out"/>
        <c:minorTickMark val="none"/>
        <c:tickLblPos val="nextTo"/>
        <c:crossAx val="15710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494839108165785"/>
          <c:y val="0.19745977383309801"/>
          <c:w val="0.58948154721954016"/>
          <c:h val="0.63439470453456848"/>
        </c:manualLayout>
      </c:layout>
      <c:pieChart>
        <c:varyColors val="1"/>
        <c:ser>
          <c:idx val="0"/>
          <c:order val="0"/>
          <c:tx>
            <c:strRef>
              <c:f>'Pivot Report'!$E$69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Report'!$D$70:$D$72</c:f>
              <c:strCache>
                <c:ptCount val="2"/>
                <c:pt idx="0">
                  <c:v>Delay</c:v>
                </c:pt>
                <c:pt idx="1">
                  <c:v>On-Time</c:v>
                </c:pt>
              </c:strCache>
            </c:strRef>
          </c:cat>
          <c:val>
            <c:numRef>
              <c:f>'Pivot Report'!$E$70:$E$72</c:f>
              <c:numCache>
                <c:formatCode>0</c:formatCode>
                <c:ptCount val="2"/>
                <c:pt idx="0">
                  <c:v>316</c:v>
                </c:pt>
                <c:pt idx="1">
                  <c:v>197</c:v>
                </c:pt>
              </c:numCache>
            </c:numRef>
          </c:val>
          <c:extLst>
            <c:ext xmlns:c16="http://schemas.microsoft.com/office/drawing/2014/chart" uri="{C3380CC4-5D6E-409C-BE32-E72D297353CC}">
              <c16:uniqueId val="{00000004-05F5-4FCC-8A91-3893A02421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7505334816899271"/>
          <c:y val="2.5728620834961129E-2"/>
          <c:w val="0.47374098602301007"/>
          <c:h val="0.10179146983360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898940953735711"/>
          <c:y val="0.18776944629290229"/>
          <c:w val="0.59222396437861491"/>
          <c:h val="0.59707832132765126"/>
        </c:manualLayout>
      </c:layout>
      <c:doughnutChart>
        <c:varyColors val="1"/>
        <c:ser>
          <c:idx val="0"/>
          <c:order val="0"/>
          <c:tx>
            <c:strRef>
              <c:f>'Pivot Report'!$E$77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Report'!$D$78:$D$80</c:f>
              <c:strCache>
                <c:ptCount val="2"/>
                <c:pt idx="0">
                  <c:v>Female</c:v>
                </c:pt>
                <c:pt idx="1">
                  <c:v>Male</c:v>
                </c:pt>
              </c:strCache>
            </c:strRef>
          </c:cat>
          <c:val>
            <c:numRef>
              <c:f>'Pivot Report'!$E$78:$E$80</c:f>
              <c:numCache>
                <c:formatCode>0</c:formatCode>
                <c:ptCount val="2"/>
                <c:pt idx="0">
                  <c:v>241</c:v>
                </c:pt>
                <c:pt idx="1">
                  <c:v>272</c:v>
                </c:pt>
              </c:numCache>
            </c:numRef>
          </c:val>
          <c:extLst>
            <c:ext xmlns:c16="http://schemas.microsoft.com/office/drawing/2014/chart" uri="{C3380CC4-5D6E-409C-BE32-E72D297353CC}">
              <c16:uniqueId val="{00000004-546B-4195-B969-EA792B827A8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32348170524106828"/>
          <c:y val="6.5955454437682595E-2"/>
          <c:w val="0.21830447612614215"/>
          <c:h val="0.17532590244401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Report'!$C$84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Report'!$B$85:$B$93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Report'!$C$85:$C$93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560E-4238-9409-A519E108B211}"/>
            </c:ext>
          </c:extLst>
        </c:ser>
        <c:dLbls>
          <c:showLegendKey val="0"/>
          <c:showVal val="0"/>
          <c:showCatName val="0"/>
          <c:showSerName val="0"/>
          <c:showPercent val="0"/>
          <c:showBubbleSize val="0"/>
        </c:dLbls>
        <c:gapWidth val="182"/>
        <c:axId val="501189519"/>
        <c:axId val="501188559"/>
      </c:barChart>
      <c:catAx>
        <c:axId val="5011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501188559"/>
        <c:crosses val="autoZero"/>
        <c:auto val="1"/>
        <c:lblAlgn val="ctr"/>
        <c:lblOffset val="100"/>
        <c:noMultiLvlLbl val="0"/>
      </c:catAx>
      <c:valAx>
        <c:axId val="501188559"/>
        <c:scaling>
          <c:orientation val="minMax"/>
        </c:scaling>
        <c:delete val="1"/>
        <c:axPos val="b"/>
        <c:numFmt formatCode="0" sourceLinked="1"/>
        <c:majorTickMark val="none"/>
        <c:minorTickMark val="none"/>
        <c:tickLblPos val="nextTo"/>
        <c:crossAx val="5011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[Hospital_Emergency_Room_Dashboard.xlsx]Pivot Report!PivotTable4</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Report'!$H$19:$H$50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Report'!$I$19:$I$50</c:f>
              <c:numCache>
                <c:formatCode>0.00;[Red]0.00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838-474F-92AF-D84A3E6FEA6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0010623"/>
        <c:axId val="2120010143"/>
      </c:areaChart>
      <c:catAx>
        <c:axId val="2120010623"/>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0010143"/>
        <c:crosses val="autoZero"/>
        <c:auto val="1"/>
        <c:lblAlgn val="ctr"/>
        <c:lblOffset val="100"/>
        <c:noMultiLvlLbl val="0"/>
      </c:catAx>
      <c:valAx>
        <c:axId val="2120010143"/>
        <c:scaling>
          <c:orientation val="minMax"/>
        </c:scaling>
        <c:delete val="1"/>
        <c:axPos val="l"/>
        <c:numFmt formatCode="0.00;[Red]0.00" sourceLinked="1"/>
        <c:majorTickMark val="out"/>
        <c:minorTickMark val="none"/>
        <c:tickLblPos val="nextTo"/>
        <c:crossAx val="2120010623"/>
        <c:crosses val="autoZero"/>
        <c:crossBetween val="midCat"/>
      </c:valAx>
      <c:spPr>
        <a:noFill/>
        <a:ln>
          <a:noFill/>
        </a:ln>
        <a:effectLst/>
      </c:spPr>
    </c:plotArea>
    <c:plotVisOnly val="1"/>
    <c:dispBlanksAs val="zero"/>
    <c:showDLblsOverMax val="0"/>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[Hospital_Emergency_Room_Dashboard.xlsx]Pivot Report!PivotTable7</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Report'!$D$19:$D$50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Report'!$E$19:$E$50</c:f>
              <c:numCache>
                <c:formatCode>0.00;[Red]0.00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395-4725-9D58-D11FEC8E8DC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74774751"/>
        <c:axId val="1374773791"/>
      </c:areaChart>
      <c:catAx>
        <c:axId val="1374774751"/>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4773791"/>
        <c:crosses val="autoZero"/>
        <c:auto val="1"/>
        <c:lblAlgn val="ctr"/>
        <c:lblOffset val="100"/>
        <c:noMultiLvlLbl val="0"/>
      </c:catAx>
      <c:valAx>
        <c:axId val="1374773791"/>
        <c:scaling>
          <c:orientation val="minMax"/>
        </c:scaling>
        <c:delete val="1"/>
        <c:axPos val="l"/>
        <c:numFmt formatCode="0.00;[Red]0.00" sourceLinked="1"/>
        <c:majorTickMark val="out"/>
        <c:minorTickMark val="none"/>
        <c:tickLblPos val="nextTo"/>
        <c:crossAx val="1374774751"/>
        <c:crosses val="autoZero"/>
        <c:crossBetween val="midCat"/>
      </c:valAx>
      <c:spPr>
        <a:solidFill>
          <a:schemeClr val="tx1">
            <a:lumMod val="65000"/>
            <a:lumOff val="3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[Hospital_Emergency_Room_Dashboard.xlsx]Pivot Report!PivotTable6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82994981665926E-2"/>
          <c:y val="5.7264977331097582E-2"/>
          <c:w val="0.93270879664125084"/>
          <c:h val="0.76617467769023562"/>
        </c:manualLayout>
      </c:layout>
      <c:areaChart>
        <c:grouping val="standard"/>
        <c:varyColors val="0"/>
        <c:ser>
          <c:idx val="0"/>
          <c:order val="0"/>
          <c:tx>
            <c:strRef>
              <c:f>'Pivot Report'!$B$18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Report'!$A$19:$A$50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Report'!$B$19:$B$50</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976F-4A9C-8DA0-D575EBFF7FE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14654111"/>
        <c:axId val="1414660351"/>
      </c:areaChart>
      <c:catAx>
        <c:axId val="1414654111"/>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14660351"/>
        <c:crosses val="autoZero"/>
        <c:auto val="1"/>
        <c:lblAlgn val="ctr"/>
        <c:lblOffset val="100"/>
        <c:noMultiLvlLbl val="0"/>
      </c:catAx>
      <c:valAx>
        <c:axId val="1414660351"/>
        <c:scaling>
          <c:orientation val="minMax"/>
        </c:scaling>
        <c:delete val="1"/>
        <c:axPos val="l"/>
        <c:numFmt formatCode="General" sourceLinked="1"/>
        <c:majorTickMark val="out"/>
        <c:minorTickMark val="none"/>
        <c:tickLblPos val="nextTo"/>
        <c:crossAx val="1414654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No of Patients'!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1</xdr:colOff>
      <xdr:row>62</xdr:row>
      <xdr:rowOff>266699</xdr:rowOff>
    </xdr:from>
    <xdr:to>
      <xdr:col>5</xdr:col>
      <xdr:colOff>85726</xdr:colOff>
      <xdr:row>64</xdr:row>
      <xdr:rowOff>400049</xdr:rowOff>
    </xdr:to>
    <xdr:graphicFrame macro="">
      <xdr:nvGraphicFramePr>
        <xdr:cNvPr id="9" name="Chart 8">
          <a:extLst>
            <a:ext uri="{FF2B5EF4-FFF2-40B4-BE49-F238E27FC236}">
              <a16:creationId xmlns:a16="http://schemas.microsoft.com/office/drawing/2014/main" id="{3A530078-A571-48A4-B5EA-533D54C9B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256381</xdr:colOff>
      <xdr:row>1</xdr:row>
      <xdr:rowOff>38100</xdr:rowOff>
    </xdr:from>
    <xdr:to>
      <xdr:col>9</xdr:col>
      <xdr:colOff>237331</xdr:colOff>
      <xdr:row>5</xdr:row>
      <xdr:rowOff>171450</xdr:rowOff>
    </xdr:to>
    <xdr:sp macro="" textlink="">
      <xdr:nvSpPr>
        <xdr:cNvPr id="4" name="Rectangle: Rounded Corners 3">
          <a:extLst>
            <a:ext uri="{FF2B5EF4-FFF2-40B4-BE49-F238E27FC236}">
              <a16:creationId xmlns:a16="http://schemas.microsoft.com/office/drawing/2014/main" id="{67CF797F-ADCE-3415-DCB5-AAF6D1040C7A}"/>
            </a:ext>
          </a:extLst>
        </xdr:cNvPr>
        <xdr:cNvSpPr/>
      </xdr:nvSpPr>
      <xdr:spPr>
        <a:xfrm>
          <a:off x="256381" y="226616"/>
          <a:ext cx="5428059" cy="887412"/>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361950</xdr:colOff>
      <xdr:row>1</xdr:row>
      <xdr:rowOff>38100</xdr:rowOff>
    </xdr:from>
    <xdr:to>
      <xdr:col>12</xdr:col>
      <xdr:colOff>581025</xdr:colOff>
      <xdr:row>5</xdr:row>
      <xdr:rowOff>171450</xdr:rowOff>
    </xdr:to>
    <xdr:sp macro="" textlink="">
      <xdr:nvSpPr>
        <xdr:cNvPr id="5" name="Rectangle: Rounded Corners 4">
          <a:extLst>
            <a:ext uri="{FF2B5EF4-FFF2-40B4-BE49-F238E27FC236}">
              <a16:creationId xmlns:a16="http://schemas.microsoft.com/office/drawing/2014/main" id="{A68288F5-49A3-B949-A6E4-4E09C01BB0D2}"/>
            </a:ext>
          </a:extLst>
        </xdr:cNvPr>
        <xdr:cNvSpPr/>
      </xdr:nvSpPr>
      <xdr:spPr>
        <a:xfrm>
          <a:off x="5848350" y="228600"/>
          <a:ext cx="2047875" cy="895350"/>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185735</xdr:colOff>
      <xdr:row>0</xdr:row>
      <xdr:rowOff>158353</xdr:rowOff>
    </xdr:from>
    <xdr:to>
      <xdr:col>17</xdr:col>
      <xdr:colOff>317499</xdr:colOff>
      <xdr:row>14</xdr:row>
      <xdr:rowOff>59531</xdr:rowOff>
    </xdr:to>
    <xdr:sp macro="" textlink="">
      <xdr:nvSpPr>
        <xdr:cNvPr id="6" name="Rectangle: Rounded Corners 5">
          <a:extLst>
            <a:ext uri="{FF2B5EF4-FFF2-40B4-BE49-F238E27FC236}">
              <a16:creationId xmlns:a16="http://schemas.microsoft.com/office/drawing/2014/main" id="{DFBF9797-F50A-0DA5-3947-53DC9A014480}"/>
            </a:ext>
          </a:extLst>
        </xdr:cNvPr>
        <xdr:cNvSpPr/>
      </xdr:nvSpPr>
      <xdr:spPr>
        <a:xfrm>
          <a:off x="8053782" y="158353"/>
          <a:ext cx="2552701" cy="2540397"/>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486172</xdr:colOff>
      <xdr:row>0</xdr:row>
      <xdr:rowOff>138112</xdr:rowOff>
    </xdr:from>
    <xdr:to>
      <xdr:col>22</xdr:col>
      <xdr:colOff>25003</xdr:colOff>
      <xdr:row>14</xdr:row>
      <xdr:rowOff>39687</xdr:rowOff>
    </xdr:to>
    <xdr:sp macro="" textlink="">
      <xdr:nvSpPr>
        <xdr:cNvPr id="7" name="Rectangle: Rounded Corners 6">
          <a:extLst>
            <a:ext uri="{FF2B5EF4-FFF2-40B4-BE49-F238E27FC236}">
              <a16:creationId xmlns:a16="http://schemas.microsoft.com/office/drawing/2014/main" id="{B1B46540-5384-AFBE-02AF-B61D34CD0156}"/>
            </a:ext>
          </a:extLst>
        </xdr:cNvPr>
        <xdr:cNvSpPr/>
      </xdr:nvSpPr>
      <xdr:spPr>
        <a:xfrm>
          <a:off x="10775156" y="138112"/>
          <a:ext cx="2565003" cy="2540794"/>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284956</xdr:colOff>
      <xdr:row>7</xdr:row>
      <xdr:rowOff>9923</xdr:rowOff>
    </xdr:from>
    <xdr:to>
      <xdr:col>2</xdr:col>
      <xdr:colOff>237331</xdr:colOff>
      <xdr:row>38</xdr:row>
      <xdr:rowOff>83344</xdr:rowOff>
    </xdr:to>
    <xdr:sp macro="" textlink="">
      <xdr:nvSpPr>
        <xdr:cNvPr id="8" name="Rectangle: Rounded Corners 7">
          <a:extLst>
            <a:ext uri="{FF2B5EF4-FFF2-40B4-BE49-F238E27FC236}">
              <a16:creationId xmlns:a16="http://schemas.microsoft.com/office/drawing/2014/main" id="{D4C69C38-0807-BE2C-C993-6AC6CDDFDEFE}"/>
            </a:ext>
          </a:extLst>
        </xdr:cNvPr>
        <xdr:cNvSpPr/>
      </xdr:nvSpPr>
      <xdr:spPr>
        <a:xfrm>
          <a:off x="284956" y="1329532"/>
          <a:ext cx="1162844" cy="5917406"/>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416718</xdr:colOff>
      <xdr:row>6</xdr:row>
      <xdr:rowOff>158750</xdr:rowOff>
    </xdr:from>
    <xdr:to>
      <xdr:col>6</xdr:col>
      <xdr:colOff>148828</xdr:colOff>
      <xdr:row>14</xdr:row>
      <xdr:rowOff>39687</xdr:rowOff>
    </xdr:to>
    <xdr:sp macro="" textlink="">
      <xdr:nvSpPr>
        <xdr:cNvPr id="10" name="Rectangle: Rounded Corners 9">
          <a:extLst>
            <a:ext uri="{FF2B5EF4-FFF2-40B4-BE49-F238E27FC236}">
              <a16:creationId xmlns:a16="http://schemas.microsoft.com/office/drawing/2014/main" id="{3D710C92-6540-878E-395A-CEFBFD75CED7}"/>
            </a:ext>
          </a:extLst>
        </xdr:cNvPr>
        <xdr:cNvSpPr/>
      </xdr:nvSpPr>
      <xdr:spPr>
        <a:xfrm>
          <a:off x="1627187" y="1289844"/>
          <a:ext cx="2153047" cy="1389062"/>
        </a:xfrm>
        <a:prstGeom prst="roundRect">
          <a:avLst/>
        </a:prstGeom>
        <a:solidFill>
          <a:schemeClr val="bg1">
            <a:lumMod val="95000"/>
          </a:schemeClr>
        </a:solidFill>
        <a:ln w="19050" cmpd="sng">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247651</xdr:colOff>
      <xdr:row>6</xdr:row>
      <xdr:rowOff>171450</xdr:rowOff>
    </xdr:from>
    <xdr:to>
      <xdr:col>9</xdr:col>
      <xdr:colOff>342901</xdr:colOff>
      <xdr:row>14</xdr:row>
      <xdr:rowOff>69453</xdr:rowOff>
    </xdr:to>
    <xdr:sp macro="" textlink="">
      <xdr:nvSpPr>
        <xdr:cNvPr id="12" name="Rectangle: Rounded Corners 11">
          <a:extLst>
            <a:ext uri="{FF2B5EF4-FFF2-40B4-BE49-F238E27FC236}">
              <a16:creationId xmlns:a16="http://schemas.microsoft.com/office/drawing/2014/main" id="{3BDA028D-6BAE-782A-E84E-7840B353D8A2}"/>
            </a:ext>
          </a:extLst>
        </xdr:cNvPr>
        <xdr:cNvSpPr/>
      </xdr:nvSpPr>
      <xdr:spPr>
        <a:xfrm>
          <a:off x="3879057" y="1302544"/>
          <a:ext cx="1910953" cy="1406128"/>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495300</xdr:colOff>
      <xdr:row>6</xdr:row>
      <xdr:rowOff>161924</xdr:rowOff>
    </xdr:from>
    <xdr:to>
      <xdr:col>12</xdr:col>
      <xdr:colOff>561975</xdr:colOff>
      <xdr:row>14</xdr:row>
      <xdr:rowOff>89296</xdr:rowOff>
    </xdr:to>
    <xdr:sp macro="" textlink="">
      <xdr:nvSpPr>
        <xdr:cNvPr id="13" name="Rectangle: Rounded Corners 12">
          <a:extLst>
            <a:ext uri="{FF2B5EF4-FFF2-40B4-BE49-F238E27FC236}">
              <a16:creationId xmlns:a16="http://schemas.microsoft.com/office/drawing/2014/main" id="{FF5C6F42-2733-5A38-DEBF-DC265E830C87}"/>
            </a:ext>
          </a:extLst>
        </xdr:cNvPr>
        <xdr:cNvSpPr/>
      </xdr:nvSpPr>
      <xdr:spPr>
        <a:xfrm>
          <a:off x="5942409" y="1293018"/>
          <a:ext cx="1882379" cy="1435497"/>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465932</xdr:colOff>
      <xdr:row>15</xdr:row>
      <xdr:rowOff>19844</xdr:rowOff>
    </xdr:from>
    <xdr:to>
      <xdr:col>12</xdr:col>
      <xdr:colOff>604440</xdr:colOff>
      <xdr:row>20</xdr:row>
      <xdr:rowOff>148828</xdr:rowOff>
    </xdr:to>
    <xdr:sp macro="" textlink="">
      <xdr:nvSpPr>
        <xdr:cNvPr id="15" name="Rectangle: Rounded Corners 14">
          <a:extLst>
            <a:ext uri="{FF2B5EF4-FFF2-40B4-BE49-F238E27FC236}">
              <a16:creationId xmlns:a16="http://schemas.microsoft.com/office/drawing/2014/main" id="{B57F5443-E200-806C-811A-FE33A2A7D94E}"/>
            </a:ext>
          </a:extLst>
        </xdr:cNvPr>
        <xdr:cNvSpPr/>
      </xdr:nvSpPr>
      <xdr:spPr>
        <a:xfrm>
          <a:off x="1676401" y="2847578"/>
          <a:ext cx="6190852" cy="1071563"/>
        </a:xfrm>
        <a:prstGeom prst="round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476251</xdr:colOff>
      <xdr:row>21</xdr:row>
      <xdr:rowOff>79375</xdr:rowOff>
    </xdr:from>
    <xdr:to>
      <xdr:col>13</xdr:col>
      <xdr:colOff>69453</xdr:colOff>
      <xdr:row>38</xdr:row>
      <xdr:rowOff>49609</xdr:rowOff>
    </xdr:to>
    <xdr:sp macro="" textlink="">
      <xdr:nvSpPr>
        <xdr:cNvPr id="18" name="Rectangle 17">
          <a:extLst>
            <a:ext uri="{FF2B5EF4-FFF2-40B4-BE49-F238E27FC236}">
              <a16:creationId xmlns:a16="http://schemas.microsoft.com/office/drawing/2014/main" id="{7C3AB2CA-E3C3-E3BB-AF4D-C82E5272916D}"/>
            </a:ext>
          </a:extLst>
        </xdr:cNvPr>
        <xdr:cNvSpPr/>
      </xdr:nvSpPr>
      <xdr:spPr>
        <a:xfrm>
          <a:off x="1686720" y="4038203"/>
          <a:ext cx="6250780" cy="3175000"/>
        </a:xfrm>
        <a:prstGeom prst="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234950</xdr:colOff>
      <xdr:row>15</xdr:row>
      <xdr:rowOff>99221</xdr:rowOff>
    </xdr:from>
    <xdr:to>
      <xdr:col>22</xdr:col>
      <xdr:colOff>228203</xdr:colOff>
      <xdr:row>38</xdr:row>
      <xdr:rowOff>5557</xdr:rowOff>
    </xdr:to>
    <xdr:sp macro="" textlink="">
      <xdr:nvSpPr>
        <xdr:cNvPr id="21" name="Rectangle 20">
          <a:extLst>
            <a:ext uri="{FF2B5EF4-FFF2-40B4-BE49-F238E27FC236}">
              <a16:creationId xmlns:a16="http://schemas.microsoft.com/office/drawing/2014/main" id="{8CA0F5AA-3756-A7F2-F896-7CBD953610AC}"/>
            </a:ext>
          </a:extLst>
        </xdr:cNvPr>
        <xdr:cNvSpPr/>
      </xdr:nvSpPr>
      <xdr:spPr>
        <a:xfrm>
          <a:off x="8102997" y="2926955"/>
          <a:ext cx="5440362" cy="4242196"/>
        </a:xfrm>
        <a:prstGeom prst="rect">
          <a:avLst/>
        </a:prstGeom>
        <a:solidFill>
          <a:schemeClr val="bg1">
            <a:lumMod val="95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307577</xdr:colOff>
      <xdr:row>1</xdr:row>
      <xdr:rowOff>109140</xdr:rowOff>
    </xdr:from>
    <xdr:to>
      <xdr:col>8</xdr:col>
      <xdr:colOff>525859</xdr:colOff>
      <xdr:row>3</xdr:row>
      <xdr:rowOff>59530</xdr:rowOff>
    </xdr:to>
    <xdr:sp macro="" textlink="">
      <xdr:nvSpPr>
        <xdr:cNvPr id="22" name="TextBox 21">
          <a:extLst>
            <a:ext uri="{FF2B5EF4-FFF2-40B4-BE49-F238E27FC236}">
              <a16:creationId xmlns:a16="http://schemas.microsoft.com/office/drawing/2014/main" id="{B0225243-2CAE-084A-1CB6-0E0DEF87F9D1}"/>
            </a:ext>
          </a:extLst>
        </xdr:cNvPr>
        <xdr:cNvSpPr txBox="1"/>
      </xdr:nvSpPr>
      <xdr:spPr>
        <a:xfrm>
          <a:off x="1518046" y="297656"/>
          <a:ext cx="3849688" cy="3274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400" b="1">
              <a:ln>
                <a:noFill/>
              </a:ln>
              <a:solidFill>
                <a:schemeClr val="tx1"/>
              </a:solidFill>
              <a:latin typeface="Aptos Narrow" panose="020B0004020202020204" pitchFamily="34" charset="0"/>
              <a:cs typeface="Arial" panose="020B0604020202020204" pitchFamily="34" charset="0"/>
            </a:rPr>
            <a:t>HOSPITAL</a:t>
          </a:r>
          <a:r>
            <a:rPr lang="en-IN" sz="1400" b="1" baseline="0">
              <a:ln>
                <a:noFill/>
              </a:ln>
              <a:solidFill>
                <a:schemeClr val="tx1"/>
              </a:solidFill>
              <a:latin typeface="Aptos Narrow" panose="020B0004020202020204" pitchFamily="34" charset="0"/>
              <a:cs typeface="Arial" panose="020B0604020202020204" pitchFamily="34" charset="0"/>
            </a:rPr>
            <a:t> EMERGENCY ROOM DASHBOARD</a:t>
          </a:r>
          <a:endParaRPr lang="en-IN" sz="14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editAs="oneCell">
    <xdr:from>
      <xdr:col>0</xdr:col>
      <xdr:colOff>515938</xdr:colOff>
      <xdr:row>1</xdr:row>
      <xdr:rowOff>128984</xdr:rowOff>
    </xdr:from>
    <xdr:to>
      <xdr:col>2</xdr:col>
      <xdr:colOff>208359</xdr:colOff>
      <xdr:row>5</xdr:row>
      <xdr:rowOff>109141</xdr:rowOff>
    </xdr:to>
    <xdr:pic>
      <xdr:nvPicPr>
        <xdr:cNvPr id="24" name="Picture 23">
          <a:extLst>
            <a:ext uri="{FF2B5EF4-FFF2-40B4-BE49-F238E27FC236}">
              <a16:creationId xmlns:a16="http://schemas.microsoft.com/office/drawing/2014/main" id="{8981D0C8-5726-26FC-D4A8-5AF4626562A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010" t="2703" r="7713" b="-2703"/>
        <a:stretch>
          <a:fillRect/>
        </a:stretch>
      </xdr:blipFill>
      <xdr:spPr>
        <a:xfrm>
          <a:off x="515938" y="317500"/>
          <a:ext cx="902890" cy="734219"/>
        </a:xfrm>
        <a:prstGeom prst="rect">
          <a:avLst/>
        </a:prstGeom>
      </xdr:spPr>
    </xdr:pic>
    <xdr:clientData/>
  </xdr:twoCellAnchor>
  <xdr:twoCellAnchor>
    <xdr:from>
      <xdr:col>2</xdr:col>
      <xdr:colOff>317499</xdr:colOff>
      <xdr:row>3</xdr:row>
      <xdr:rowOff>138907</xdr:rowOff>
    </xdr:from>
    <xdr:to>
      <xdr:col>8</xdr:col>
      <xdr:colOff>535781</xdr:colOff>
      <xdr:row>5</xdr:row>
      <xdr:rowOff>89297</xdr:rowOff>
    </xdr:to>
    <xdr:sp macro="" textlink="">
      <xdr:nvSpPr>
        <xdr:cNvPr id="25" name="TextBox 24">
          <a:extLst>
            <a:ext uri="{FF2B5EF4-FFF2-40B4-BE49-F238E27FC236}">
              <a16:creationId xmlns:a16="http://schemas.microsoft.com/office/drawing/2014/main" id="{D30E069B-B7A6-F87F-52F1-B26EFA083DCE}"/>
            </a:ext>
          </a:extLst>
        </xdr:cNvPr>
        <xdr:cNvSpPr txBox="1"/>
      </xdr:nvSpPr>
      <xdr:spPr>
        <a:xfrm>
          <a:off x="1527968" y="704454"/>
          <a:ext cx="3849688" cy="3274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400" b="1">
              <a:ln>
                <a:noFill/>
              </a:ln>
              <a:solidFill>
                <a:schemeClr val="tx1"/>
              </a:solidFill>
              <a:latin typeface="Aptos Narrow" panose="020B0004020202020204" pitchFamily="34" charset="0"/>
              <a:cs typeface="Arial" panose="020B0604020202020204" pitchFamily="34" charset="0"/>
            </a:rPr>
            <a:t>Monthly</a:t>
          </a:r>
          <a:r>
            <a:rPr lang="en-IN" sz="1400" b="1" baseline="0">
              <a:ln>
                <a:noFill/>
              </a:ln>
              <a:solidFill>
                <a:schemeClr val="tx1"/>
              </a:solidFill>
              <a:latin typeface="Aptos Narrow" panose="020B0004020202020204" pitchFamily="34" charset="0"/>
              <a:cs typeface="Arial" panose="020B0604020202020204" pitchFamily="34" charset="0"/>
            </a:rPr>
            <a:t> Report</a:t>
          </a:r>
          <a:endParaRPr lang="en-IN" sz="14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2</xdr:col>
      <xdr:colOff>515737</xdr:colOff>
      <xdr:row>8</xdr:row>
      <xdr:rowOff>29767</xdr:rowOff>
    </xdr:from>
    <xdr:to>
      <xdr:col>6</xdr:col>
      <xdr:colOff>139104</xdr:colOff>
      <xdr:row>9</xdr:row>
      <xdr:rowOff>128984</xdr:rowOff>
    </xdr:to>
    <xdr:sp macro="" textlink="'Pivot Report'!A7">
      <xdr:nvSpPr>
        <xdr:cNvPr id="26" name="TextBox 25">
          <a:extLst>
            <a:ext uri="{FF2B5EF4-FFF2-40B4-BE49-F238E27FC236}">
              <a16:creationId xmlns:a16="http://schemas.microsoft.com/office/drawing/2014/main" id="{4C3B8BCE-2280-9045-4E5A-058DDC743EAD}"/>
            </a:ext>
          </a:extLst>
        </xdr:cNvPr>
        <xdr:cNvSpPr txBox="1"/>
      </xdr:nvSpPr>
      <xdr:spPr>
        <a:xfrm>
          <a:off x="1726206" y="1537892"/>
          <a:ext cx="2044304" cy="28773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49CA64B9-C2A9-46B0-B837-7ECAE4F99583}" type="TxLink">
            <a:rPr lang="en-US" sz="1400" b="0" i="0" u="none" strike="noStrike">
              <a:ln>
                <a:noFill/>
              </a:ln>
              <a:solidFill>
                <a:srgbClr val="000000"/>
              </a:solidFill>
              <a:latin typeface="Aptos Narrow" panose="020B0004020202020204" pitchFamily="34" charset="0"/>
              <a:ea typeface="Calibri"/>
              <a:cs typeface="Calibri"/>
            </a:rPr>
            <a:pPr/>
            <a:t>513</a:t>
          </a:fld>
          <a:endParaRPr lang="en-IN" sz="18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2</xdr:col>
      <xdr:colOff>506014</xdr:colOff>
      <xdr:row>9</xdr:row>
      <xdr:rowOff>158751</xdr:rowOff>
    </xdr:from>
    <xdr:to>
      <xdr:col>6</xdr:col>
      <xdr:colOff>99218</xdr:colOff>
      <xdr:row>11</xdr:row>
      <xdr:rowOff>109141</xdr:rowOff>
    </xdr:to>
    <xdr:sp macro="" textlink="">
      <xdr:nvSpPr>
        <xdr:cNvPr id="27" name="TextBox 26">
          <a:extLst>
            <a:ext uri="{FF2B5EF4-FFF2-40B4-BE49-F238E27FC236}">
              <a16:creationId xmlns:a16="http://schemas.microsoft.com/office/drawing/2014/main" id="{B78A0229-CBE1-DF8C-F6E6-0AC6B7F318CB}"/>
            </a:ext>
          </a:extLst>
        </xdr:cNvPr>
        <xdr:cNvSpPr txBox="1"/>
      </xdr:nvSpPr>
      <xdr:spPr>
        <a:xfrm>
          <a:off x="1716483" y="1855392"/>
          <a:ext cx="2014141" cy="3274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a:ln>
                <a:noFill/>
              </a:ln>
              <a:solidFill>
                <a:schemeClr val="tx1"/>
              </a:solidFill>
              <a:latin typeface="Aptos Narrow" panose="020B0004020202020204" pitchFamily="34" charset="0"/>
              <a:cs typeface="Arial" panose="020B0604020202020204" pitchFamily="34" charset="0"/>
            </a:rPr>
            <a:t>No.</a:t>
          </a:r>
          <a:r>
            <a:rPr lang="en-IN" sz="1200" b="1" baseline="0">
              <a:ln>
                <a:noFill/>
              </a:ln>
              <a:solidFill>
                <a:schemeClr val="tx1"/>
              </a:solidFill>
              <a:latin typeface="Aptos Narrow" panose="020B0004020202020204" pitchFamily="34" charset="0"/>
              <a:cs typeface="Arial" panose="020B0604020202020204" pitchFamily="34" charset="0"/>
            </a:rPr>
            <a:t> of Patients</a:t>
          </a:r>
          <a:endParaRPr lang="en-IN" sz="12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6</xdr:col>
      <xdr:colOff>277813</xdr:colOff>
      <xdr:row>8</xdr:row>
      <xdr:rowOff>29767</xdr:rowOff>
    </xdr:from>
    <xdr:to>
      <xdr:col>9</xdr:col>
      <xdr:colOff>317500</xdr:colOff>
      <xdr:row>9</xdr:row>
      <xdr:rowOff>128984</xdr:rowOff>
    </xdr:to>
    <xdr:sp macro="" textlink="'Pivot Report'!A11">
      <xdr:nvSpPr>
        <xdr:cNvPr id="40" name="TextBox 39">
          <a:extLst>
            <a:ext uri="{FF2B5EF4-FFF2-40B4-BE49-F238E27FC236}">
              <a16:creationId xmlns:a16="http://schemas.microsoft.com/office/drawing/2014/main" id="{40A25B9D-A8DE-D6E8-D067-43E357EBC6E0}"/>
            </a:ext>
          </a:extLst>
        </xdr:cNvPr>
        <xdr:cNvSpPr txBox="1"/>
      </xdr:nvSpPr>
      <xdr:spPr>
        <a:xfrm>
          <a:off x="3909219" y="1537892"/>
          <a:ext cx="1855390" cy="28773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D4EB2C08-4CE3-4ED1-83EE-3A7DE900C16B}" type="TxLink">
            <a:rPr lang="en-US" sz="1400" b="0" i="0" u="none" strike="noStrike">
              <a:ln>
                <a:noFill/>
              </a:ln>
              <a:solidFill>
                <a:srgbClr val="000000"/>
              </a:solidFill>
              <a:latin typeface="Aptos Narrow" panose="020B0004020202020204" pitchFamily="34" charset="0"/>
              <a:ea typeface="Calibri"/>
              <a:cs typeface="Calibri"/>
            </a:rPr>
            <a:pPr/>
            <a:t>36.32</a:t>
          </a:fld>
          <a:endParaRPr lang="en-IN" sz="1400" b="0" i="0" u="none" strike="noStrike">
            <a:ln>
              <a:noFill/>
            </a:ln>
            <a:solidFill>
              <a:schemeClr val="tx1"/>
            </a:solidFill>
            <a:latin typeface="Aptos Narrow" panose="020B0004020202020204" pitchFamily="34" charset="0"/>
            <a:ea typeface="Calibri"/>
            <a:cs typeface="Arial" panose="020B0604020202020204" pitchFamily="34" charset="0"/>
          </a:endParaRPr>
        </a:p>
      </xdr:txBody>
    </xdr:sp>
    <xdr:clientData/>
  </xdr:twoCellAnchor>
  <xdr:twoCellAnchor>
    <xdr:from>
      <xdr:col>6</xdr:col>
      <xdr:colOff>267891</xdr:colOff>
      <xdr:row>9</xdr:row>
      <xdr:rowOff>158751</xdr:rowOff>
    </xdr:from>
    <xdr:to>
      <xdr:col>9</xdr:col>
      <xdr:colOff>327422</xdr:colOff>
      <xdr:row>11</xdr:row>
      <xdr:rowOff>109141</xdr:rowOff>
    </xdr:to>
    <xdr:sp macro="" textlink="">
      <xdr:nvSpPr>
        <xdr:cNvPr id="41" name="TextBox 40">
          <a:extLst>
            <a:ext uri="{FF2B5EF4-FFF2-40B4-BE49-F238E27FC236}">
              <a16:creationId xmlns:a16="http://schemas.microsoft.com/office/drawing/2014/main" id="{AFADB58F-E7EE-0960-BD41-AC43F8902D34}"/>
            </a:ext>
          </a:extLst>
        </xdr:cNvPr>
        <xdr:cNvSpPr txBox="1"/>
      </xdr:nvSpPr>
      <xdr:spPr>
        <a:xfrm>
          <a:off x="3899297" y="1855392"/>
          <a:ext cx="1875234" cy="3274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a:ln>
                <a:noFill/>
              </a:ln>
              <a:solidFill>
                <a:schemeClr val="tx1"/>
              </a:solidFill>
              <a:latin typeface="Aptos Narrow" panose="020B0004020202020204" pitchFamily="34" charset="0"/>
              <a:cs typeface="Arial" panose="020B0604020202020204" pitchFamily="34" charset="0"/>
            </a:rPr>
            <a:t>Average</a:t>
          </a:r>
          <a:r>
            <a:rPr lang="en-IN" sz="1200" b="1" baseline="0">
              <a:ln>
                <a:noFill/>
              </a:ln>
              <a:solidFill>
                <a:schemeClr val="tx1"/>
              </a:solidFill>
              <a:latin typeface="Aptos Narrow" panose="020B0004020202020204" pitchFamily="34" charset="0"/>
              <a:cs typeface="Arial" panose="020B0604020202020204" pitchFamily="34" charset="0"/>
            </a:rPr>
            <a:t> Wait Time</a:t>
          </a:r>
          <a:endParaRPr lang="en-IN" sz="12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9</xdr:col>
      <xdr:colOff>505816</xdr:colOff>
      <xdr:row>8</xdr:row>
      <xdr:rowOff>29767</xdr:rowOff>
    </xdr:from>
    <xdr:to>
      <xdr:col>12</xdr:col>
      <xdr:colOff>555625</xdr:colOff>
      <xdr:row>9</xdr:row>
      <xdr:rowOff>128984</xdr:rowOff>
    </xdr:to>
    <xdr:sp macro="" textlink="'Pivot Report'!A15">
      <xdr:nvSpPr>
        <xdr:cNvPr id="42" name="TextBox 41">
          <a:extLst>
            <a:ext uri="{FF2B5EF4-FFF2-40B4-BE49-F238E27FC236}">
              <a16:creationId xmlns:a16="http://schemas.microsoft.com/office/drawing/2014/main" id="{2E092563-9952-830C-32B6-1755C3AEF22D}"/>
            </a:ext>
          </a:extLst>
        </xdr:cNvPr>
        <xdr:cNvSpPr txBox="1"/>
      </xdr:nvSpPr>
      <xdr:spPr>
        <a:xfrm>
          <a:off x="5952925" y="1537892"/>
          <a:ext cx="1865513" cy="28773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F9B460D6-4032-4C43-B894-9E11F7738957}" type="TxLink">
            <a:rPr lang="en-US" sz="1400" b="0" i="0" u="none" strike="noStrike">
              <a:ln>
                <a:noFill/>
              </a:ln>
              <a:solidFill>
                <a:srgbClr val="000000"/>
              </a:solidFill>
              <a:latin typeface="Aptos Narrow" panose="020B0004020202020204" pitchFamily="34" charset="0"/>
              <a:ea typeface="Calibri"/>
              <a:cs typeface="Calibri"/>
            </a:rPr>
            <a:pPr/>
            <a:t>4.96</a:t>
          </a:fld>
          <a:endParaRPr lang="en-IN" sz="24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9</xdr:col>
      <xdr:colOff>515936</xdr:colOff>
      <xdr:row>9</xdr:row>
      <xdr:rowOff>158751</xdr:rowOff>
    </xdr:from>
    <xdr:to>
      <xdr:col>12</xdr:col>
      <xdr:colOff>545703</xdr:colOff>
      <xdr:row>11</xdr:row>
      <xdr:rowOff>109141</xdr:rowOff>
    </xdr:to>
    <xdr:sp macro="" textlink="">
      <xdr:nvSpPr>
        <xdr:cNvPr id="43" name="TextBox 42">
          <a:extLst>
            <a:ext uri="{FF2B5EF4-FFF2-40B4-BE49-F238E27FC236}">
              <a16:creationId xmlns:a16="http://schemas.microsoft.com/office/drawing/2014/main" id="{CFA04AB8-E4BC-08F0-185A-FEC6AD95E8CF}"/>
            </a:ext>
          </a:extLst>
        </xdr:cNvPr>
        <xdr:cNvSpPr txBox="1"/>
      </xdr:nvSpPr>
      <xdr:spPr>
        <a:xfrm>
          <a:off x="5963045" y="1855392"/>
          <a:ext cx="1845471" cy="32742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a:ln>
                <a:noFill/>
              </a:ln>
              <a:solidFill>
                <a:schemeClr val="tx1"/>
              </a:solidFill>
              <a:latin typeface="Aptos Narrow" panose="020B0004020202020204" pitchFamily="34" charset="0"/>
              <a:cs typeface="Arial" panose="020B0604020202020204" pitchFamily="34" charset="0"/>
            </a:rPr>
            <a:t>Patient</a:t>
          </a:r>
          <a:r>
            <a:rPr lang="en-IN" sz="1200" b="1" baseline="0">
              <a:ln>
                <a:noFill/>
              </a:ln>
              <a:solidFill>
                <a:schemeClr val="tx1"/>
              </a:solidFill>
              <a:latin typeface="Aptos Narrow" panose="020B0004020202020204" pitchFamily="34" charset="0"/>
              <a:cs typeface="Arial" panose="020B0604020202020204" pitchFamily="34" charset="0"/>
            </a:rPr>
            <a:t> Satisfaction Score </a:t>
          </a:r>
          <a:endParaRPr lang="en-IN" sz="12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editAs="oneCell">
    <xdr:from>
      <xdr:col>3</xdr:col>
      <xdr:colOff>198438</xdr:colOff>
      <xdr:row>7</xdr:row>
      <xdr:rowOff>158751</xdr:rowOff>
    </xdr:from>
    <xdr:to>
      <xdr:col>3</xdr:col>
      <xdr:colOff>575469</xdr:colOff>
      <xdr:row>9</xdr:row>
      <xdr:rowOff>158750</xdr:rowOff>
    </xdr:to>
    <xdr:pic>
      <xdr:nvPicPr>
        <xdr:cNvPr id="45" name="Picture 44">
          <a:extLst>
            <a:ext uri="{FF2B5EF4-FFF2-40B4-BE49-F238E27FC236}">
              <a16:creationId xmlns:a16="http://schemas.microsoft.com/office/drawing/2014/main" id="{1323D9B7-6C1D-C8D0-9FFC-4BD0978AF4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14141" y="1478360"/>
          <a:ext cx="377031" cy="377031"/>
        </a:xfrm>
        <a:prstGeom prst="rect">
          <a:avLst/>
        </a:prstGeom>
      </xdr:spPr>
    </xdr:pic>
    <xdr:clientData/>
  </xdr:twoCellAnchor>
  <xdr:twoCellAnchor editAs="oneCell">
    <xdr:from>
      <xdr:col>6</xdr:col>
      <xdr:colOff>456407</xdr:colOff>
      <xdr:row>8</xdr:row>
      <xdr:rowOff>19844</xdr:rowOff>
    </xdr:from>
    <xdr:to>
      <xdr:col>7</xdr:col>
      <xdr:colOff>158750</xdr:colOff>
      <xdr:row>9</xdr:row>
      <xdr:rowOff>138906</xdr:rowOff>
    </xdr:to>
    <xdr:pic>
      <xdr:nvPicPr>
        <xdr:cNvPr id="47" name="Picture 46">
          <a:extLst>
            <a:ext uri="{FF2B5EF4-FFF2-40B4-BE49-F238E27FC236}">
              <a16:creationId xmlns:a16="http://schemas.microsoft.com/office/drawing/2014/main" id="{E56ED435-ACBC-139A-FE61-A117112352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87813" y="1527969"/>
          <a:ext cx="307578" cy="307578"/>
        </a:xfrm>
        <a:prstGeom prst="rect">
          <a:avLst/>
        </a:prstGeom>
      </xdr:spPr>
    </xdr:pic>
    <xdr:clientData/>
  </xdr:twoCellAnchor>
  <xdr:twoCellAnchor editAs="oneCell">
    <xdr:from>
      <xdr:col>10</xdr:col>
      <xdr:colOff>138906</xdr:colOff>
      <xdr:row>7</xdr:row>
      <xdr:rowOff>148827</xdr:rowOff>
    </xdr:from>
    <xdr:to>
      <xdr:col>10</xdr:col>
      <xdr:colOff>486171</xdr:colOff>
      <xdr:row>9</xdr:row>
      <xdr:rowOff>119060</xdr:rowOff>
    </xdr:to>
    <xdr:pic>
      <xdr:nvPicPr>
        <xdr:cNvPr id="49" name="Picture 48">
          <a:extLst>
            <a:ext uri="{FF2B5EF4-FFF2-40B4-BE49-F238E27FC236}">
              <a16:creationId xmlns:a16="http://schemas.microsoft.com/office/drawing/2014/main" id="{8FFE7172-CAEA-36AD-9695-6D0CBC0855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91250" y="1468436"/>
          <a:ext cx="347265" cy="347265"/>
        </a:xfrm>
        <a:prstGeom prst="rect">
          <a:avLst/>
        </a:prstGeom>
      </xdr:spPr>
    </xdr:pic>
    <xdr:clientData/>
  </xdr:twoCellAnchor>
  <xdr:twoCellAnchor editAs="oneCell">
    <xdr:from>
      <xdr:col>0</xdr:col>
      <xdr:colOff>367108</xdr:colOff>
      <xdr:row>7</xdr:row>
      <xdr:rowOff>99219</xdr:rowOff>
    </xdr:from>
    <xdr:to>
      <xdr:col>2</xdr:col>
      <xdr:colOff>185639</xdr:colOff>
      <xdr:row>38</xdr:row>
      <xdr:rowOff>19844</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A7D0E36D-A91B-49C8-91FC-FD021E19FE0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67108" y="1418828"/>
              <a:ext cx="1029000" cy="5764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9</xdr:row>
      <xdr:rowOff>29765</xdr:rowOff>
    </xdr:from>
    <xdr:to>
      <xdr:col>6</xdr:col>
      <xdr:colOff>89298</xdr:colOff>
      <xdr:row>13</xdr:row>
      <xdr:rowOff>168672</xdr:rowOff>
    </xdr:to>
    <xdr:graphicFrame macro="">
      <xdr:nvGraphicFramePr>
        <xdr:cNvPr id="3" name="Chart 2">
          <a:hlinkClick xmlns:r="http://schemas.openxmlformats.org/officeDocument/2006/relationships" r:id="rId5"/>
          <a:extLst>
            <a:ext uri="{FF2B5EF4-FFF2-40B4-BE49-F238E27FC236}">
              <a16:creationId xmlns:a16="http://schemas.microsoft.com/office/drawing/2014/main" id="{79BF0012-D11A-40E8-9C97-93AE101C9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208360</xdr:colOff>
      <xdr:row>10</xdr:row>
      <xdr:rowOff>39690</xdr:rowOff>
    </xdr:from>
    <xdr:to>
      <xdr:col>9</xdr:col>
      <xdr:colOff>406797</xdr:colOff>
      <xdr:row>14</xdr:row>
      <xdr:rowOff>138906</xdr:rowOff>
    </xdr:to>
    <xdr:graphicFrame macro="">
      <xdr:nvGraphicFramePr>
        <xdr:cNvPr id="16" name="Chart 15">
          <a:hlinkClick xmlns:r="http://schemas.openxmlformats.org/officeDocument/2006/relationships" r:id="rId7"/>
          <a:extLst>
            <a:ext uri="{FF2B5EF4-FFF2-40B4-BE49-F238E27FC236}">
              <a16:creationId xmlns:a16="http://schemas.microsoft.com/office/drawing/2014/main" id="{8DA2FD4A-3CA7-4982-B95E-A70BB8563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347267</xdr:colOff>
      <xdr:row>7</xdr:row>
      <xdr:rowOff>181768</xdr:rowOff>
    </xdr:from>
    <xdr:to>
      <xdr:col>13</xdr:col>
      <xdr:colOff>128985</xdr:colOff>
      <xdr:row>14</xdr:row>
      <xdr:rowOff>69453</xdr:rowOff>
    </xdr:to>
    <xdr:graphicFrame macro="">
      <xdr:nvGraphicFramePr>
        <xdr:cNvPr id="17" name="Chart 16">
          <a:hlinkClick xmlns:r="http://schemas.openxmlformats.org/officeDocument/2006/relationships" r:id="rId9"/>
          <a:extLst>
            <a:ext uri="{FF2B5EF4-FFF2-40B4-BE49-F238E27FC236}">
              <a16:creationId xmlns:a16="http://schemas.microsoft.com/office/drawing/2014/main" id="{BCA84651-4295-4A2B-A4CD-57A908245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466327</xdr:colOff>
          <xdr:row>15</xdr:row>
          <xdr:rowOff>9923</xdr:rowOff>
        </xdr:from>
        <xdr:to>
          <xdr:col>13</xdr:col>
          <xdr:colOff>39687</xdr:colOff>
          <xdr:row>20</xdr:row>
          <xdr:rowOff>168672</xdr:rowOff>
        </xdr:to>
        <xdr:pic>
          <xdr:nvPicPr>
            <xdr:cNvPr id="36" name="Picture 35">
              <a:extLst>
                <a:ext uri="{FF2B5EF4-FFF2-40B4-BE49-F238E27FC236}">
                  <a16:creationId xmlns:a16="http://schemas.microsoft.com/office/drawing/2014/main" id="{A682F861-1B87-88F4-7A26-6875DCB95D78}"/>
                </a:ext>
              </a:extLst>
            </xdr:cNvPr>
            <xdr:cNvPicPr>
              <a:picLocks noChangeAspect="1" noChangeArrowheads="1"/>
              <a:extLst>
                <a:ext uri="{84589F7E-364E-4C9E-8A38-B11213B215E9}">
                  <a14:cameraTool cellRange="'Pivot Report'!$B$63:$E$65" spid="_x0000_s1040"/>
                </a:ext>
              </a:extLst>
            </xdr:cNvPicPr>
          </xdr:nvPicPr>
          <xdr:blipFill>
            <a:blip xmlns:r="http://schemas.openxmlformats.org/officeDocument/2006/relationships" r:embed="rId11"/>
            <a:srcRect/>
            <a:stretch>
              <a:fillRect/>
            </a:stretch>
          </xdr:blipFill>
          <xdr:spPr bwMode="auto">
            <a:xfrm>
              <a:off x="1676796" y="2837657"/>
              <a:ext cx="6230938" cy="110132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19844</xdr:colOff>
      <xdr:row>21</xdr:row>
      <xdr:rowOff>99219</xdr:rowOff>
    </xdr:from>
    <xdr:to>
      <xdr:col>12</xdr:col>
      <xdr:colOff>377031</xdr:colOff>
      <xdr:row>37</xdr:row>
      <xdr:rowOff>39688</xdr:rowOff>
    </xdr:to>
    <xdr:graphicFrame macro="">
      <xdr:nvGraphicFramePr>
        <xdr:cNvPr id="37" name="Chart 36">
          <a:extLst>
            <a:ext uri="{FF2B5EF4-FFF2-40B4-BE49-F238E27FC236}">
              <a16:creationId xmlns:a16="http://schemas.microsoft.com/office/drawing/2014/main" id="{959AA13B-9F6E-4B7C-8703-AE0DEC4AC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386955</xdr:colOff>
      <xdr:row>36</xdr:row>
      <xdr:rowOff>128985</xdr:rowOff>
    </xdr:from>
    <xdr:to>
      <xdr:col>9</xdr:col>
      <xdr:colOff>99219</xdr:colOff>
      <xdr:row>37</xdr:row>
      <xdr:rowOff>59532</xdr:rowOff>
    </xdr:to>
    <xdr:sp macro="" textlink="">
      <xdr:nvSpPr>
        <xdr:cNvPr id="38" name="TextBox 37">
          <a:extLst>
            <a:ext uri="{FF2B5EF4-FFF2-40B4-BE49-F238E27FC236}">
              <a16:creationId xmlns:a16="http://schemas.microsoft.com/office/drawing/2014/main" id="{F98AE5AC-7188-44C4-97EA-C075B371EF1A}"/>
            </a:ext>
          </a:extLst>
        </xdr:cNvPr>
        <xdr:cNvSpPr txBox="1"/>
      </xdr:nvSpPr>
      <xdr:spPr>
        <a:xfrm>
          <a:off x="4018361" y="6915548"/>
          <a:ext cx="1527967" cy="1190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a:ln>
                <a:noFill/>
              </a:ln>
              <a:solidFill>
                <a:schemeClr val="tx1"/>
              </a:solidFill>
              <a:latin typeface="Aptos Narrow" panose="020B0004020202020204" pitchFamily="34" charset="0"/>
              <a:cs typeface="Arial" panose="020B0604020202020204" pitchFamily="34" charset="0"/>
            </a:rPr>
            <a:t>No.</a:t>
          </a:r>
          <a:r>
            <a:rPr lang="en-IN" sz="1200" b="1" baseline="0">
              <a:ln>
                <a:noFill/>
              </a:ln>
              <a:solidFill>
                <a:schemeClr val="tx1"/>
              </a:solidFill>
              <a:latin typeface="Aptos Narrow" panose="020B0004020202020204" pitchFamily="34" charset="0"/>
              <a:cs typeface="Arial" panose="020B0604020202020204" pitchFamily="34" charset="0"/>
            </a:rPr>
            <a:t> of Patients</a:t>
          </a:r>
          <a:endParaRPr lang="en-IN" sz="1200" b="1">
            <a:ln>
              <a:noFill/>
            </a:ln>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13</xdr:col>
      <xdr:colOff>307577</xdr:colOff>
      <xdr:row>2</xdr:row>
      <xdr:rowOff>0</xdr:rowOff>
    </xdr:from>
    <xdr:to>
      <xdr:col>17</xdr:col>
      <xdr:colOff>128985</xdr:colOff>
      <xdr:row>13</xdr:row>
      <xdr:rowOff>9922</xdr:rowOff>
    </xdr:to>
    <xdr:graphicFrame macro="">
      <xdr:nvGraphicFramePr>
        <xdr:cNvPr id="39" name="Chart 38">
          <a:extLst>
            <a:ext uri="{FF2B5EF4-FFF2-40B4-BE49-F238E27FC236}">
              <a16:creationId xmlns:a16="http://schemas.microsoft.com/office/drawing/2014/main" id="{42625FC6-130A-4790-822A-DAF19D885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393700</xdr:colOff>
      <xdr:row>10</xdr:row>
      <xdr:rowOff>178595</xdr:rowOff>
    </xdr:from>
    <xdr:to>
      <xdr:col>17</xdr:col>
      <xdr:colOff>69453</xdr:colOff>
      <xdr:row>13</xdr:row>
      <xdr:rowOff>178596</xdr:rowOff>
    </xdr:to>
    <xdr:sp macro="" textlink="">
      <xdr:nvSpPr>
        <xdr:cNvPr id="44" name="TextBox 43">
          <a:extLst>
            <a:ext uri="{FF2B5EF4-FFF2-40B4-BE49-F238E27FC236}">
              <a16:creationId xmlns:a16="http://schemas.microsoft.com/office/drawing/2014/main" id="{91E96FAD-D818-4085-BF95-DCEF63613A18}"/>
            </a:ext>
          </a:extLst>
        </xdr:cNvPr>
        <xdr:cNvSpPr txBox="1"/>
      </xdr:nvSpPr>
      <xdr:spPr>
        <a:xfrm>
          <a:off x="8261747" y="2063751"/>
          <a:ext cx="2096690" cy="565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a:ln>
                <a:noFill/>
              </a:ln>
              <a:solidFill>
                <a:schemeClr val="tx1"/>
              </a:solidFill>
              <a:latin typeface="Aptos Narrow" panose="020B0004020202020204" pitchFamily="34" charset="0"/>
              <a:cs typeface="Arial" panose="020B0604020202020204" pitchFamily="34" charset="0"/>
            </a:rPr>
            <a:t>Patient</a:t>
          </a:r>
          <a:r>
            <a:rPr lang="en-IN" sz="1200" b="1" baseline="0">
              <a:ln>
                <a:noFill/>
              </a:ln>
              <a:solidFill>
                <a:schemeClr val="tx1"/>
              </a:solidFill>
              <a:latin typeface="Aptos Narrow" panose="020B0004020202020204" pitchFamily="34" charset="0"/>
              <a:cs typeface="Arial" panose="020B0604020202020204" pitchFamily="34" charset="0"/>
            </a:rPr>
            <a:t> Attend Status</a:t>
          </a:r>
        </a:p>
      </xdr:txBody>
    </xdr:sp>
    <xdr:clientData/>
  </xdr:twoCellAnchor>
  <xdr:twoCellAnchor>
    <xdr:from>
      <xdr:col>17</xdr:col>
      <xdr:colOff>515938</xdr:colOff>
      <xdr:row>1</xdr:row>
      <xdr:rowOff>29765</xdr:rowOff>
    </xdr:from>
    <xdr:to>
      <xdr:col>21</xdr:col>
      <xdr:colOff>535781</xdr:colOff>
      <xdr:row>13</xdr:row>
      <xdr:rowOff>188515</xdr:rowOff>
    </xdr:to>
    <xdr:graphicFrame macro="">
      <xdr:nvGraphicFramePr>
        <xdr:cNvPr id="46" name="Chart 45">
          <a:extLst>
            <a:ext uri="{FF2B5EF4-FFF2-40B4-BE49-F238E27FC236}">
              <a16:creationId xmlns:a16="http://schemas.microsoft.com/office/drawing/2014/main" id="{77F45285-C2DD-488D-81E1-95FFB9E4A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264715</xdr:colOff>
      <xdr:row>11</xdr:row>
      <xdr:rowOff>39690</xdr:rowOff>
    </xdr:from>
    <xdr:to>
      <xdr:col>21</xdr:col>
      <xdr:colOff>377030</xdr:colOff>
      <xdr:row>13</xdr:row>
      <xdr:rowOff>128985</xdr:rowOff>
    </xdr:to>
    <xdr:sp macro="" textlink="">
      <xdr:nvSpPr>
        <xdr:cNvPr id="48" name="TextBox 47">
          <a:extLst>
            <a:ext uri="{FF2B5EF4-FFF2-40B4-BE49-F238E27FC236}">
              <a16:creationId xmlns:a16="http://schemas.microsoft.com/office/drawing/2014/main" id="{890420BE-94D2-4D5E-8B2A-D2095CEAA1E2}"/>
            </a:ext>
          </a:extLst>
        </xdr:cNvPr>
        <xdr:cNvSpPr txBox="1"/>
      </xdr:nvSpPr>
      <xdr:spPr>
        <a:xfrm>
          <a:off x="11158934" y="2113362"/>
          <a:ext cx="1928018" cy="46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baseline="0">
              <a:ln>
                <a:noFill/>
              </a:ln>
              <a:solidFill>
                <a:schemeClr val="tx1"/>
              </a:solidFill>
              <a:latin typeface="Aptos Narrow" panose="020B0004020202020204" pitchFamily="34" charset="0"/>
              <a:cs typeface="Arial" panose="020B0604020202020204" pitchFamily="34" charset="0"/>
            </a:rPr>
            <a:t>Gender Wise Analysis</a:t>
          </a:r>
        </a:p>
      </xdr:txBody>
    </xdr:sp>
    <xdr:clientData/>
  </xdr:twoCellAnchor>
  <xdr:twoCellAnchor>
    <xdr:from>
      <xdr:col>13</xdr:col>
      <xdr:colOff>363934</xdr:colOff>
      <xdr:row>15</xdr:row>
      <xdr:rowOff>178596</xdr:rowOff>
    </xdr:from>
    <xdr:to>
      <xdr:col>22</xdr:col>
      <xdr:colOff>69453</xdr:colOff>
      <xdr:row>35</xdr:row>
      <xdr:rowOff>109141</xdr:rowOff>
    </xdr:to>
    <xdr:graphicFrame macro="">
      <xdr:nvGraphicFramePr>
        <xdr:cNvPr id="50" name="Chart 49">
          <a:extLst>
            <a:ext uri="{FF2B5EF4-FFF2-40B4-BE49-F238E27FC236}">
              <a16:creationId xmlns:a16="http://schemas.microsoft.com/office/drawing/2014/main" id="{681B049A-B793-4FED-BE7B-819CAE84B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234950</xdr:colOff>
      <xdr:row>15</xdr:row>
      <xdr:rowOff>99221</xdr:rowOff>
    </xdr:from>
    <xdr:to>
      <xdr:col>16</xdr:col>
      <xdr:colOff>347265</xdr:colOff>
      <xdr:row>18</xdr:row>
      <xdr:rowOff>0</xdr:rowOff>
    </xdr:to>
    <xdr:sp macro="" textlink="">
      <xdr:nvSpPr>
        <xdr:cNvPr id="51" name="TextBox 50">
          <a:extLst>
            <a:ext uri="{FF2B5EF4-FFF2-40B4-BE49-F238E27FC236}">
              <a16:creationId xmlns:a16="http://schemas.microsoft.com/office/drawing/2014/main" id="{875FA666-32EB-451A-860B-1F43B1CBA8E9}"/>
            </a:ext>
          </a:extLst>
        </xdr:cNvPr>
        <xdr:cNvSpPr txBox="1"/>
      </xdr:nvSpPr>
      <xdr:spPr>
        <a:xfrm>
          <a:off x="8102997" y="2926955"/>
          <a:ext cx="1928018" cy="46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baseline="0">
              <a:ln>
                <a:noFill/>
              </a:ln>
              <a:solidFill>
                <a:schemeClr val="tx1"/>
              </a:solidFill>
              <a:latin typeface="Aptos Narrow" panose="020B0004020202020204" pitchFamily="34" charset="0"/>
              <a:cs typeface="Arial" panose="020B0604020202020204" pitchFamily="34" charset="0"/>
            </a:rPr>
            <a:t>Gender Wise Analysis</a:t>
          </a:r>
        </a:p>
      </xdr:txBody>
    </xdr:sp>
    <xdr:clientData/>
  </xdr:twoCellAnchor>
  <xdr:twoCellAnchor>
    <xdr:from>
      <xdr:col>14</xdr:col>
      <xdr:colOff>506015</xdr:colOff>
      <xdr:row>35</xdr:row>
      <xdr:rowOff>0</xdr:rowOff>
    </xdr:from>
    <xdr:to>
      <xdr:col>20</xdr:col>
      <xdr:colOff>267889</xdr:colOff>
      <xdr:row>37</xdr:row>
      <xdr:rowOff>89295</xdr:rowOff>
    </xdr:to>
    <xdr:sp macro="" textlink="">
      <xdr:nvSpPr>
        <xdr:cNvPr id="52" name="TextBox 51">
          <a:extLst>
            <a:ext uri="{FF2B5EF4-FFF2-40B4-BE49-F238E27FC236}">
              <a16:creationId xmlns:a16="http://schemas.microsoft.com/office/drawing/2014/main" id="{E5CD6AAF-E088-4E09-B54B-8A47722D0C9F}"/>
            </a:ext>
          </a:extLst>
        </xdr:cNvPr>
        <xdr:cNvSpPr txBox="1"/>
      </xdr:nvSpPr>
      <xdr:spPr>
        <a:xfrm>
          <a:off x="8979296" y="6598047"/>
          <a:ext cx="3393281" cy="46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n-IN" sz="1200" b="1" baseline="0">
              <a:ln>
                <a:noFill/>
              </a:ln>
              <a:solidFill>
                <a:schemeClr val="tx1"/>
              </a:solidFill>
              <a:latin typeface="Aptos Narrow" panose="020B0004020202020204" pitchFamily="34" charset="0"/>
              <a:cs typeface="Arial" panose="020B0604020202020204" pitchFamily="34" charset="0"/>
            </a:rPr>
            <a:t>No. of Patient By Department Referal</a:t>
          </a:r>
        </a:p>
      </xdr:txBody>
    </xdr:sp>
    <xdr:clientData/>
  </xdr:twoCellAnchor>
  <xdr:twoCellAnchor editAs="oneCell">
    <xdr:from>
      <xdr:col>9</xdr:col>
      <xdr:colOff>535782</xdr:colOff>
      <xdr:row>1</xdr:row>
      <xdr:rowOff>128983</xdr:rowOff>
    </xdr:from>
    <xdr:to>
      <xdr:col>12</xdr:col>
      <xdr:colOff>484078</xdr:colOff>
      <xdr:row>5</xdr:row>
      <xdr:rowOff>94921</xdr:rowOff>
    </xdr:to>
    <mc:AlternateContent xmlns:mc="http://schemas.openxmlformats.org/markup-compatibility/2006" xmlns:a14="http://schemas.microsoft.com/office/drawing/2010/main">
      <mc:Choice Requires="a14">
        <xdr:graphicFrame macro="">
          <xdr:nvGraphicFramePr>
            <xdr:cNvPr id="53" name="Date (Year)">
              <a:extLst>
                <a:ext uri="{FF2B5EF4-FFF2-40B4-BE49-F238E27FC236}">
                  <a16:creationId xmlns:a16="http://schemas.microsoft.com/office/drawing/2014/main" id="{551BBDCE-AF27-4A69-8355-2BE9CC83139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982891" y="317499"/>
              <a:ext cx="1764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71436</xdr:rowOff>
    </xdr:from>
    <xdr:to>
      <xdr:col>22</xdr:col>
      <xdr:colOff>460375</xdr:colOff>
      <xdr:row>32</xdr:row>
      <xdr:rowOff>14288</xdr:rowOff>
    </xdr:to>
    <xdr:graphicFrame macro="">
      <xdr:nvGraphicFramePr>
        <xdr:cNvPr id="2" name="Chart 1">
          <a:extLst>
            <a:ext uri="{FF2B5EF4-FFF2-40B4-BE49-F238E27FC236}">
              <a16:creationId xmlns:a16="http://schemas.microsoft.com/office/drawing/2014/main" id="{1076C03C-BA63-4338-97E3-3B6BCE207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119062</xdr:colOff>
      <xdr:row>1</xdr:row>
      <xdr:rowOff>133350</xdr:rowOff>
    </xdr:from>
    <xdr:to>
      <xdr:col>22</xdr:col>
      <xdr:colOff>563563</xdr:colOff>
      <xdr:row>32</xdr:row>
      <xdr:rowOff>85725</xdr:rowOff>
    </xdr:to>
    <xdr:graphicFrame macro="">
      <xdr:nvGraphicFramePr>
        <xdr:cNvPr id="2" name="Chart 1">
          <a:extLst>
            <a:ext uri="{FF2B5EF4-FFF2-40B4-BE49-F238E27FC236}">
              <a16:creationId xmlns:a16="http://schemas.microsoft.com/office/drawing/2014/main" id="{A7953101-A563-4B51-8517-96ABB20DD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534987</xdr:colOff>
      <xdr:row>1</xdr:row>
      <xdr:rowOff>101600</xdr:rowOff>
    </xdr:from>
    <xdr:to>
      <xdr:col>23</xdr:col>
      <xdr:colOff>87312</xdr:colOff>
      <xdr:row>30</xdr:row>
      <xdr:rowOff>177800</xdr:rowOff>
    </xdr:to>
    <xdr:graphicFrame macro="">
      <xdr:nvGraphicFramePr>
        <xdr:cNvPr id="3" name="Chart 2">
          <a:extLst>
            <a:ext uri="{FF2B5EF4-FFF2-40B4-BE49-F238E27FC236}">
              <a16:creationId xmlns:a16="http://schemas.microsoft.com/office/drawing/2014/main" id="{6EC14051-C1B6-4B15-B679-D1EF3BC56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1643522" createdVersion="5" refreshedVersion="8" minRefreshableVersion="3" recordCount="0" supportSubquery="1" supportAdvancedDrill="1" xr:uid="{B80132A3-9715-46CE-A5A9-84BE61ADB255}">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1990738" createdVersion="5" refreshedVersion="8" minRefreshableVersion="3" recordCount="0" supportSubquery="1" supportAdvancedDrill="1" xr:uid="{8EEAC2B4-4957-4D6D-A4A2-C897DFFD5FD7}">
  <cacheSource type="external" connectionId="3"/>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2106484" createdVersion="5" refreshedVersion="8" minRefreshableVersion="3" recordCount="0" supportSubquery="1" supportAdvancedDrill="1" xr:uid="{6BAFC0E3-83FB-4673-A8B6-151F5D8A4B3A}">
  <cacheSource type="external" connectionId="3"/>
  <cacheFields count="3">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2222223" createdVersion="5" refreshedVersion="8" minRefreshableVersion="3" recordCount="0" supportSubquery="1" supportAdvancedDrill="1" xr:uid="{DAFD69D5-5359-4A32-ADA1-ADFD8BFE80A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2685184" createdVersion="5" refreshedVersion="8" minRefreshableVersion="3" recordCount="0" supportSubquery="1" supportAdvancedDrill="1" xr:uid="{79FC83C3-7941-4ED7-AA2D-A52AE647D406}">
  <cacheSource type="external" connectionId="3"/>
  <cacheFields count="4">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3263892" createdVersion="5" refreshedVersion="8" minRefreshableVersion="3" recordCount="0" supportSubquery="1" supportAdvancedDrill="1" xr:uid="{32868113-1E83-4CC5-9DB4-43B7246899C7}">
  <cacheSource type="external" connectionId="3"/>
  <cacheFields count="4">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3611108" createdVersion="5" refreshedVersion="8" minRefreshableVersion="3" recordCount="0" supportSubquery="1" supportAdvancedDrill="1" xr:uid="{690CCD9D-94E8-4A6A-8DAF-8E25F3812946}">
  <cacheSource type="external" connectionId="3"/>
  <cacheFields count="5">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3958332" createdVersion="5" refreshedVersion="8" minRefreshableVersion="3" recordCount="0" supportSubquery="1" supportAdvancedDrill="1" xr:uid="{A28E1629-46A1-4E0A-B623-EE578D768580}">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 Group].[Age - Group]" caption="Age - Group" numFmtId="0" hierarchy="16" level="1">
      <sharedItems count="8">
        <s v="0-09"/>
        <s v="10-19"/>
        <s v="20-29"/>
        <s v="30-39"/>
        <s v="40-49"/>
        <s v="50-59"/>
        <s v="60-69"/>
        <s v="70-79"/>
      </sharedItems>
    </cacheField>
    <cacheField name="[Measures].[Count of Age - Group]" caption="Count of Age - Group" numFmtId="0" hierarchy="30"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4305555" createdVersion="5" refreshedVersion="8" minRefreshableVersion="3" recordCount="0" supportSubquery="1" supportAdvancedDrill="1" xr:uid="{D8EAD187-1161-4538-95F3-7920C17D7801}">
  <cacheSource type="external" connectionId="3"/>
  <cacheFields count="4">
    <cacheField name="[Calendar_Table].[Date (Month)].[Date (Month)]" caption="Date (Month)" numFmtId="0" hierarchy="3"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1"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4652778" createdVersion="5" refreshedVersion="8" minRefreshableVersion="3" recordCount="0" supportSubquery="1" supportAdvancedDrill="1" xr:uid="{BCCB474B-DFC9-4DB0-B824-A2CC620B70B7}">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5000001" createdVersion="5" refreshedVersion="8" minRefreshableVersion="3" recordCount="0" supportSubquery="1" supportAdvancedDrill="1" xr:uid="{B31AC8BF-5124-4F00-A3E9-EBB5CC6216E1}">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7.838875462963" createdVersion="5" refreshedVersion="8" minRefreshableVersion="3" recordCount="0" supportSubquery="1" supportAdvancedDrill="1" xr:uid="{14D08686-6FB5-457F-B3CF-F68DDAC8C2CF}">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 Group]" caption="Count of Age -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4.594486458336" createdVersion="3" refreshedVersion="8" minRefreshableVersion="3" recordCount="0" supportSubquery="1" supportAdvancedDrill="1" xr:uid="{9A3F9EED-D9E8-4EAC-85F2-A93001AE5DD6}">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 Group]" caption="Age - Group" attribute="1" defaultMemberUniqueName="[Hospital Emergency Room Data].[Age - Group].[All]" allUniqueName="[Hospital Emergency Room Data].[Age -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800951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FAE1F-72F3-417E-B36E-577E2079C0D8}" name="PivotTable5" cacheId="825"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4">
  <location ref="A56:C5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78">
      <pivotArea outline="0" collapsedLevelsAreSubtotals="1" fieldPosition="0"/>
    </format>
    <format dxfId="277">
      <pivotArea outline="0" fieldPosition="0">
        <references count="1">
          <reference field="4294967294" count="1">
            <x v="1"/>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18485-AAF0-4CA5-8468-AAF5A3B2CD78}" name="PivotTable12" cacheId="840"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17">
  <location ref="H74:H7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79">
      <pivotArea outline="0" collapsedLevelsAreSubtotals="1" fieldPosition="0"/>
    </format>
  </formats>
  <pivotHierarchies count="34">
    <pivotHierarchy dragToData="1"/>
    <pivotHierarchy multipleItemSelectionAllowed="1"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5D1F1D-7F4B-4925-915E-41CFE8B443EC}" name="PivotTable11" cacheId="837"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21">
  <location ref="B84:C9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280">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ED177-F924-42B0-B42F-D8C34D68B9CA}" name="PivotTable7" cacheId="819" applyNumberFormats="0" applyBorderFormats="0" applyFontFormats="0" applyPatternFormats="0" applyAlignmentFormats="0" applyWidthHeightFormats="1" dataCaption="Values" tag="490a8452-42c0-48f3-92ed-867b22190dcf" updatedVersion="8" minRefreshableVersion="3" subtotalHiddenItems="1" itemPrintTitles="1" createdVersion="5" indent="0" outline="1" outlineData="1" multipleFieldFilters="0" chartFormat="34">
  <location ref="D18:E5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2">
    <format dxfId="282">
      <pivotArea outline="0" collapsedLevelsAreSubtotals="1" fieldPosition="0"/>
    </format>
    <format dxfId="281">
      <pivotArea dataOnly="0" labelOnly="1" outline="0" axis="axisValues" fieldPosition="0"/>
    </format>
  </formats>
  <chartFormats count="2">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855998-F2D6-4204-9102-EB42A5F0D7D8}" name="PivotTable4" cacheId="822" applyNumberFormats="0" applyBorderFormats="0" applyFontFormats="0" applyPatternFormats="0" applyAlignmentFormats="0" applyWidthHeightFormats="1" dataCaption="Values" tag="490a8452-42c0-48f3-92ed-867b22190dcf" updatedVersion="8" minRefreshableVersion="3" subtotalHiddenItems="1" itemPrintTitles="1" createdVersion="5" indent="0" outline="1" outlineData="1" multipleFieldFilters="0" chartFormat="45">
  <location ref="H18:I5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84">
      <pivotArea outline="0" collapsedLevelsAreSubtotals="1" fieldPosition="0"/>
    </format>
    <format dxfId="283">
      <pivotArea dataOnly="0" labelOnly="1" outline="0" axis="axisValues" fieldPosition="0"/>
    </format>
  </formats>
  <chartFormats count="2">
    <chartFormat chart="39" format="7" series="1">
      <pivotArea type="data" outline="0" fieldPosition="0">
        <references count="1">
          <reference field="4294967294" count="1" selected="0">
            <x v="0"/>
          </reference>
        </references>
      </pivotArea>
    </chartFormat>
    <chartFormat chart="43"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F3D88-BA32-4DBE-B426-A0FC249C733B}" name="PivotTable10" cacheId="834"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17">
  <location ref="D77:E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85">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22CE14-C4F5-457D-9D9F-4501F31E88CF}" name="PivotTable6" cacheId="807" applyNumberFormats="0" applyBorderFormats="0" applyFontFormats="0" applyPatternFormats="0" applyAlignmentFormats="0" applyWidthHeightFormats="1" dataCaption="Values" tag="490a8452-42c0-48f3-92ed-867b22190dcf" updatedVersion="8" minRefreshableVersion="3" subtotalHiddenItems="1" itemPrintTitles="1" createdVersion="5" indent="0" outline="1" outlineData="1" multipleFieldFilters="0" chartFormat="15">
  <location ref="A18:B5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F7CA10-A2DC-40CF-A2D8-8C67D9995DE0}" name="PivotTable3" cacheId="816"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86">
      <pivotArea outline="0" collapsedLevelsAreSubtotals="1" fieldPosition="0"/>
    </format>
  </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CFCEEE-0959-4BB9-9873-EB2F05037131}" name="PivotTable9" cacheId="831"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12">
  <location ref="D69:E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1">
    <format dxfId="287">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157A44-E559-4CBC-B672-28612064EF39}" name="PivotTable2" cacheId="813" applyNumberFormats="0" applyBorderFormats="0" applyFontFormats="0" applyPatternFormats="0" applyAlignmentFormats="0" applyWidthHeightFormats="1" dataCaption="Values" tag="3c5767f3-e109-49ae-83bb-313eadb86ed4" updatedVersion="8" minRefreshableVersion="3" subtotalHiddenItems="1" itemPrintTitles="1" createdVersion="5" indent="0" outline="1" outlineData="1" multipleFieldFilters="0" chartFormat="2">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CAA405-8CC8-424F-A1D3-5E9B940C1F23}" name="PivotTable8" cacheId="828" applyNumberFormats="0" applyBorderFormats="0" applyFontFormats="0" applyPatternFormats="0" applyAlignmentFormats="0" applyWidthHeightFormats="1" dataCaption="Values" tag="eb4d6f3b-3309-43dd-97bb-1285839ac853" updatedVersion="8" minRefreshableVersion="3" subtotalHiddenItems="1" itemPrintTitles="1" createdVersion="5" indent="0" outline="1" outlineData="1" multipleFieldFilters="0" chartFormat="7">
  <location ref="A69: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 Group" fld="2" subtotal="count" baseField="0" baseItem="0" numFmtId="1"/>
  </dataFields>
  <formats count="1">
    <format dxfId="28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D3617C-C812-45AF-B34E-06934447D17F}" name="PivotTable1" cacheId="810" applyNumberFormats="0" applyBorderFormats="0" applyFontFormats="0" applyPatternFormats="0" applyAlignmentFormats="0" applyWidthHeightFormats="1" dataCaption="Values" tag="490a8452-42c0-48f3-92ed-867b22190dcf"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7968117-211D-4D85-96AD-6D930F2B5250}" sourceName="[Calendar_Table].[Date (Month)]">
  <pivotTables>
    <pivotTable tabId="1" name="PivotTable6"/>
    <pivotTable tabId="1" name="PivotTable1"/>
    <pivotTable tabId="1" name="PivotTable2"/>
    <pivotTable tabId="1" name="PivotTable3"/>
    <pivotTable tabId="1" name="PivotTable7"/>
    <pivotTable tabId="1" name="PivotTable4"/>
    <pivotTable tabId="1" name="PivotTable5"/>
    <pivotTable tabId="1" name="PivotTable8"/>
    <pivotTable tabId="1" name="PivotTable9"/>
    <pivotTable tabId="1" name="PivotTable10"/>
    <pivotTable tabId="1" name="PivotTable11"/>
    <pivotTable tabId="1" name="PivotTable12"/>
  </pivotTables>
  <data>
    <olap pivotCacheId="48009516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E38D31E-8BE6-4359-8220-CCBDA9D883C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80095160">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FA91A3B-39B9-4746-9041-84DDCEB2180C}" cache="Slicer_Date__Month" caption="Date (Month)" showCaption="0" level="1" style="slicer" rowHeight="432000"/>
  <slicer name="Date (Year)" xr10:uid="{F82E89C8-725A-4BBF-BD9B-42550EDA046D}" cache="Slicer_Date__Year" caption="Date (Year)" columnCount="2" showCaption="0" level="1" style="slicer"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76EF-77C9-4DF3-9220-87A36895BA57}">
  <dimension ref="A6:I93"/>
  <sheetViews>
    <sheetView workbookViewId="0">
      <selection activeCell="H79" sqref="H79"/>
    </sheetView>
  </sheetViews>
  <sheetFormatPr defaultRowHeight="15" x14ac:dyDescent="0.25"/>
  <cols>
    <col min="1" max="1" width="13.28515625" bestFit="1" customWidth="1"/>
    <col min="2" max="2" width="16.5703125" bestFit="1" customWidth="1"/>
    <col min="3" max="3" width="27.85546875" bestFit="1" customWidth="1"/>
    <col min="4" max="4" width="13.140625" bestFit="1" customWidth="1"/>
    <col min="5" max="5" width="27" customWidth="1"/>
    <col min="7" max="7" width="11.42578125" customWidth="1"/>
    <col min="8" max="8" width="13.140625" bestFit="1" customWidth="1"/>
    <col min="9" max="9" width="34.28515625" bestFit="1" customWidth="1"/>
  </cols>
  <sheetData>
    <row r="6" spans="1:1" x14ac:dyDescent="0.25">
      <c r="A6" t="s">
        <v>0</v>
      </c>
    </row>
    <row r="7" spans="1:1" x14ac:dyDescent="0.25">
      <c r="A7" s="14">
        <v>513</v>
      </c>
    </row>
    <row r="10" spans="1:1" x14ac:dyDescent="0.25">
      <c r="A10" t="s">
        <v>1</v>
      </c>
    </row>
    <row r="11" spans="1:1" x14ac:dyDescent="0.25">
      <c r="A11" s="1">
        <v>36.323586744639378</v>
      </c>
    </row>
    <row r="14" spans="1:1" x14ac:dyDescent="0.25">
      <c r="A14" t="s">
        <v>2</v>
      </c>
    </row>
    <row r="15" spans="1:1" x14ac:dyDescent="0.25">
      <c r="A15" s="2">
        <v>4.9591836734693882</v>
      </c>
    </row>
    <row r="18" spans="1:9" x14ac:dyDescent="0.25">
      <c r="A18" s="4" t="s">
        <v>4</v>
      </c>
      <c r="B18" t="s">
        <v>0</v>
      </c>
      <c r="D18" s="4" t="s">
        <v>4</v>
      </c>
      <c r="E18" s="1" t="s">
        <v>1</v>
      </c>
      <c r="H18" s="4" t="s">
        <v>4</v>
      </c>
      <c r="I18" s="1" t="s">
        <v>2</v>
      </c>
    </row>
    <row r="19" spans="1:9" x14ac:dyDescent="0.25">
      <c r="A19" s="5" t="s">
        <v>5</v>
      </c>
      <c r="B19" s="14">
        <v>19</v>
      </c>
      <c r="D19" s="5" t="s">
        <v>5</v>
      </c>
      <c r="E19" s="1">
        <v>37.789473684210527</v>
      </c>
      <c r="H19" s="5" t="s">
        <v>5</v>
      </c>
      <c r="I19" s="1">
        <v>6.666666666666667</v>
      </c>
    </row>
    <row r="20" spans="1:9" x14ac:dyDescent="0.25">
      <c r="A20" s="5" t="s">
        <v>6</v>
      </c>
      <c r="B20" s="14">
        <v>14</v>
      </c>
      <c r="D20" s="5" t="s">
        <v>6</v>
      </c>
      <c r="E20" s="1">
        <v>38.214285714285715</v>
      </c>
      <c r="H20" s="5" t="s">
        <v>6</v>
      </c>
      <c r="I20" s="1">
        <v>3.5</v>
      </c>
    </row>
    <row r="21" spans="1:9" x14ac:dyDescent="0.25">
      <c r="A21" s="5" t="s">
        <v>7</v>
      </c>
      <c r="B21" s="14">
        <v>13</v>
      </c>
      <c r="D21" s="5" t="s">
        <v>7</v>
      </c>
      <c r="E21" s="1">
        <v>40.92307692307692</v>
      </c>
      <c r="H21" s="5" t="s">
        <v>7</v>
      </c>
      <c r="I21" s="1">
        <v>4.5</v>
      </c>
    </row>
    <row r="22" spans="1:9" x14ac:dyDescent="0.25">
      <c r="A22" s="5" t="s">
        <v>8</v>
      </c>
      <c r="B22" s="14">
        <v>22</v>
      </c>
      <c r="D22" s="5" t="s">
        <v>8</v>
      </c>
      <c r="E22" s="1">
        <v>34.5</v>
      </c>
      <c r="H22" s="5" t="s">
        <v>8</v>
      </c>
      <c r="I22" s="1">
        <v>4.8</v>
      </c>
    </row>
    <row r="23" spans="1:9" x14ac:dyDescent="0.25">
      <c r="A23" s="5" t="s">
        <v>9</v>
      </c>
      <c r="B23" s="14">
        <v>19</v>
      </c>
      <c r="D23" s="5" t="s">
        <v>9</v>
      </c>
      <c r="E23" s="1">
        <v>30.684210526315791</v>
      </c>
      <c r="H23" s="5" t="s">
        <v>9</v>
      </c>
      <c r="I23" s="1">
        <v>7.75</v>
      </c>
    </row>
    <row r="24" spans="1:9" x14ac:dyDescent="0.25">
      <c r="A24" s="5" t="s">
        <v>10</v>
      </c>
      <c r="B24" s="14">
        <v>15</v>
      </c>
      <c r="D24" s="5" t="s">
        <v>10</v>
      </c>
      <c r="E24" s="1">
        <v>37.666666666666664</v>
      </c>
      <c r="H24" s="5" t="s">
        <v>10</v>
      </c>
      <c r="I24" s="1">
        <v>6.2</v>
      </c>
    </row>
    <row r="25" spans="1:9" x14ac:dyDescent="0.25">
      <c r="A25" s="5" t="s">
        <v>11</v>
      </c>
      <c r="B25" s="14">
        <v>12</v>
      </c>
      <c r="D25" s="5" t="s">
        <v>11</v>
      </c>
      <c r="E25" s="1">
        <v>36.083333333333336</v>
      </c>
      <c r="H25" s="5" t="s">
        <v>11</v>
      </c>
      <c r="I25" s="1">
        <v>3.75</v>
      </c>
    </row>
    <row r="26" spans="1:9" x14ac:dyDescent="0.25">
      <c r="A26" s="5" t="s">
        <v>12</v>
      </c>
      <c r="B26" s="14">
        <v>21</v>
      </c>
      <c r="D26" s="5" t="s">
        <v>12</v>
      </c>
      <c r="E26" s="1">
        <v>43.523809523809526</v>
      </c>
      <c r="H26" s="5" t="s">
        <v>12</v>
      </c>
      <c r="I26" s="1">
        <v>6.5</v>
      </c>
    </row>
    <row r="27" spans="1:9" x14ac:dyDescent="0.25">
      <c r="A27" s="5" t="s">
        <v>13</v>
      </c>
      <c r="B27" s="14">
        <v>12</v>
      </c>
      <c r="D27" s="5" t="s">
        <v>13</v>
      </c>
      <c r="E27" s="1">
        <v>29.5</v>
      </c>
      <c r="H27" s="5" t="s">
        <v>13</v>
      </c>
      <c r="I27" s="1">
        <v>3</v>
      </c>
    </row>
    <row r="28" spans="1:9" x14ac:dyDescent="0.25">
      <c r="A28" s="5" t="s">
        <v>14</v>
      </c>
      <c r="B28" s="14">
        <v>13</v>
      </c>
      <c r="D28" s="5" t="s">
        <v>14</v>
      </c>
      <c r="E28" s="1">
        <v>38.07692307692308</v>
      </c>
      <c r="H28" s="5" t="s">
        <v>14</v>
      </c>
      <c r="I28" s="1">
        <v>4.5</v>
      </c>
    </row>
    <row r="29" spans="1:9" x14ac:dyDescent="0.25">
      <c r="A29" s="5" t="s">
        <v>15</v>
      </c>
      <c r="B29" s="14">
        <v>13</v>
      </c>
      <c r="D29" s="5" t="s">
        <v>15</v>
      </c>
      <c r="E29" s="1">
        <v>35.846153846153847</v>
      </c>
      <c r="H29" s="5" t="s">
        <v>15</v>
      </c>
      <c r="I29" s="1">
        <v>6</v>
      </c>
    </row>
    <row r="30" spans="1:9" x14ac:dyDescent="0.25">
      <c r="A30" s="5" t="s">
        <v>16</v>
      </c>
      <c r="B30" s="14">
        <v>16</v>
      </c>
      <c r="D30" s="5" t="s">
        <v>16</v>
      </c>
      <c r="E30" s="1">
        <v>32.625</v>
      </c>
      <c r="H30" s="5" t="s">
        <v>16</v>
      </c>
      <c r="I30" s="1">
        <v>5.2</v>
      </c>
    </row>
    <row r="31" spans="1:9" x14ac:dyDescent="0.25">
      <c r="A31" s="5" t="s">
        <v>17</v>
      </c>
      <c r="B31" s="14">
        <v>20</v>
      </c>
      <c r="D31" s="5" t="s">
        <v>17</v>
      </c>
      <c r="E31" s="1">
        <v>39.200000000000003</v>
      </c>
      <c r="H31" s="5" t="s">
        <v>17</v>
      </c>
      <c r="I31" s="1">
        <v>4.4000000000000004</v>
      </c>
    </row>
    <row r="32" spans="1:9" x14ac:dyDescent="0.25">
      <c r="A32" s="5" t="s">
        <v>18</v>
      </c>
      <c r="B32" s="14">
        <v>25</v>
      </c>
      <c r="D32" s="5" t="s">
        <v>18</v>
      </c>
      <c r="E32" s="1">
        <v>35.28</v>
      </c>
      <c r="H32" s="5" t="s">
        <v>18</v>
      </c>
      <c r="I32" s="1">
        <v>3.4545454545454546</v>
      </c>
    </row>
    <row r="33" spans="1:9" x14ac:dyDescent="0.25">
      <c r="A33" s="5" t="s">
        <v>19</v>
      </c>
      <c r="B33" s="14">
        <v>20</v>
      </c>
      <c r="D33" s="5" t="s">
        <v>19</v>
      </c>
      <c r="E33" s="1">
        <v>32.549999999999997</v>
      </c>
      <c r="H33" s="5" t="s">
        <v>19</v>
      </c>
      <c r="I33" s="1">
        <v>4.4000000000000004</v>
      </c>
    </row>
    <row r="34" spans="1:9" x14ac:dyDescent="0.25">
      <c r="A34" s="5" t="s">
        <v>20</v>
      </c>
      <c r="B34" s="14">
        <v>14</v>
      </c>
      <c r="D34" s="5" t="s">
        <v>20</v>
      </c>
      <c r="E34" s="1">
        <v>35.642857142857146</v>
      </c>
      <c r="H34" s="5" t="s">
        <v>20</v>
      </c>
      <c r="I34" s="1">
        <v>5.833333333333333</v>
      </c>
    </row>
    <row r="35" spans="1:9" x14ac:dyDescent="0.25">
      <c r="A35" s="5" t="s">
        <v>21</v>
      </c>
      <c r="B35" s="14">
        <v>17</v>
      </c>
      <c r="D35" s="5" t="s">
        <v>21</v>
      </c>
      <c r="E35" s="1">
        <v>38.764705882352942</v>
      </c>
      <c r="H35" s="5" t="s">
        <v>21</v>
      </c>
      <c r="I35" s="1">
        <v>4.4444444444444446</v>
      </c>
    </row>
    <row r="36" spans="1:9" x14ac:dyDescent="0.25">
      <c r="A36" s="5" t="s">
        <v>22</v>
      </c>
      <c r="B36" s="14">
        <v>20</v>
      </c>
      <c r="D36" s="5" t="s">
        <v>22</v>
      </c>
      <c r="E36" s="1">
        <v>39.9</v>
      </c>
      <c r="H36" s="5" t="s">
        <v>22</v>
      </c>
      <c r="I36" s="1">
        <v>5.333333333333333</v>
      </c>
    </row>
    <row r="37" spans="1:9" x14ac:dyDescent="0.25">
      <c r="A37" s="5" t="s">
        <v>23</v>
      </c>
      <c r="B37" s="14">
        <v>10</v>
      </c>
      <c r="D37" s="5" t="s">
        <v>23</v>
      </c>
      <c r="E37" s="1">
        <v>41.6</v>
      </c>
      <c r="H37" s="5" t="s">
        <v>23</v>
      </c>
      <c r="I37" s="1">
        <v>5.333333333333333</v>
      </c>
    </row>
    <row r="38" spans="1:9" x14ac:dyDescent="0.25">
      <c r="A38" s="5" t="s">
        <v>24</v>
      </c>
      <c r="B38" s="14">
        <v>17</v>
      </c>
      <c r="D38" s="5" t="s">
        <v>24</v>
      </c>
      <c r="E38" s="1">
        <v>39.470588235294116</v>
      </c>
      <c r="H38" s="5" t="s">
        <v>24</v>
      </c>
      <c r="I38" s="1">
        <v>5.5714285714285712</v>
      </c>
    </row>
    <row r="39" spans="1:9" x14ac:dyDescent="0.25">
      <c r="A39" s="5" t="s">
        <v>25</v>
      </c>
      <c r="B39" s="14">
        <v>15</v>
      </c>
      <c r="D39" s="5" t="s">
        <v>25</v>
      </c>
      <c r="E39" s="1">
        <v>27.733333333333334</v>
      </c>
      <c r="H39" s="5" t="s">
        <v>25</v>
      </c>
      <c r="I39" s="1">
        <v>5</v>
      </c>
    </row>
    <row r="40" spans="1:9" x14ac:dyDescent="0.25">
      <c r="A40" s="5" t="s">
        <v>26</v>
      </c>
      <c r="B40" s="14">
        <v>16</v>
      </c>
      <c r="D40" s="5" t="s">
        <v>26</v>
      </c>
      <c r="E40" s="1">
        <v>36.875</v>
      </c>
      <c r="H40" s="5" t="s">
        <v>26</v>
      </c>
      <c r="I40" s="1">
        <v>6.4</v>
      </c>
    </row>
    <row r="41" spans="1:9" x14ac:dyDescent="0.25">
      <c r="A41" s="5" t="s">
        <v>27</v>
      </c>
      <c r="B41" s="14">
        <v>18</v>
      </c>
      <c r="D41" s="5" t="s">
        <v>27</v>
      </c>
      <c r="E41" s="1">
        <v>40.333333333333336</v>
      </c>
      <c r="H41" s="5" t="s">
        <v>27</v>
      </c>
      <c r="I41" s="1">
        <v>5.333333333333333</v>
      </c>
    </row>
    <row r="42" spans="1:9" x14ac:dyDescent="0.25">
      <c r="A42" s="5" t="s">
        <v>28</v>
      </c>
      <c r="B42" s="14">
        <v>16</v>
      </c>
      <c r="D42" s="5" t="s">
        <v>28</v>
      </c>
      <c r="E42" s="1">
        <v>36.5</v>
      </c>
      <c r="H42" s="5" t="s">
        <v>28</v>
      </c>
      <c r="I42" s="1">
        <v>3.75</v>
      </c>
    </row>
    <row r="43" spans="1:9" x14ac:dyDescent="0.25">
      <c r="A43" s="5" t="s">
        <v>29</v>
      </c>
      <c r="B43" s="14">
        <v>15</v>
      </c>
      <c r="D43" s="5" t="s">
        <v>29</v>
      </c>
      <c r="E43" s="1">
        <v>32.866666666666667</v>
      </c>
      <c r="H43" s="5" t="s">
        <v>29</v>
      </c>
      <c r="I43" s="1">
        <v>6.333333333333333</v>
      </c>
    </row>
    <row r="44" spans="1:9" x14ac:dyDescent="0.25">
      <c r="A44" s="5" t="s">
        <v>30</v>
      </c>
      <c r="B44" s="14">
        <v>14</v>
      </c>
      <c r="D44" s="5" t="s">
        <v>30</v>
      </c>
      <c r="E44" s="1">
        <v>36.642857142857146</v>
      </c>
      <c r="H44" s="5" t="s">
        <v>30</v>
      </c>
      <c r="I44" s="1">
        <v>10</v>
      </c>
    </row>
    <row r="45" spans="1:9" x14ac:dyDescent="0.25">
      <c r="A45" s="5" t="s">
        <v>31</v>
      </c>
      <c r="B45" s="14">
        <v>16</v>
      </c>
      <c r="D45" s="5" t="s">
        <v>31</v>
      </c>
      <c r="E45" s="1">
        <v>36.5625</v>
      </c>
      <c r="H45" s="5" t="s">
        <v>31</v>
      </c>
      <c r="I45" s="1">
        <v>5</v>
      </c>
    </row>
    <row r="46" spans="1:9" x14ac:dyDescent="0.25">
      <c r="A46" s="5" t="s">
        <v>32</v>
      </c>
      <c r="B46" s="14">
        <v>20</v>
      </c>
      <c r="D46" s="5" t="s">
        <v>32</v>
      </c>
      <c r="E46" s="1">
        <v>32.15</v>
      </c>
      <c r="H46" s="5" t="s">
        <v>32</v>
      </c>
      <c r="I46" s="1">
        <v>5.333333333333333</v>
      </c>
    </row>
    <row r="47" spans="1:9" x14ac:dyDescent="0.25">
      <c r="A47" s="5" t="s">
        <v>33</v>
      </c>
      <c r="B47" s="14">
        <v>19</v>
      </c>
      <c r="D47" s="5" t="s">
        <v>33</v>
      </c>
      <c r="E47" s="1">
        <v>38.368421052631582</v>
      </c>
      <c r="H47" s="5" t="s">
        <v>33</v>
      </c>
      <c r="I47" s="1">
        <v>4.8</v>
      </c>
    </row>
    <row r="48" spans="1:9" x14ac:dyDescent="0.25">
      <c r="A48" s="5" t="s">
        <v>34</v>
      </c>
      <c r="B48" s="14">
        <v>14</v>
      </c>
      <c r="D48" s="5" t="s">
        <v>34</v>
      </c>
      <c r="E48" s="1">
        <v>33.071428571428569</v>
      </c>
      <c r="H48" s="5" t="s">
        <v>34</v>
      </c>
      <c r="I48" s="1">
        <v>5</v>
      </c>
    </row>
    <row r="49" spans="1:9" x14ac:dyDescent="0.25">
      <c r="A49" s="5" t="s">
        <v>35</v>
      </c>
      <c r="B49" s="14">
        <v>18</v>
      </c>
      <c r="D49" s="5" t="s">
        <v>35</v>
      </c>
      <c r="E49" s="1">
        <v>36.444444444444443</v>
      </c>
      <c r="H49" s="5" t="s">
        <v>35</v>
      </c>
      <c r="I49" s="1">
        <v>1.4</v>
      </c>
    </row>
    <row r="50" spans="1:9" x14ac:dyDescent="0.25">
      <c r="A50" s="5" t="s">
        <v>3</v>
      </c>
      <c r="B50" s="14">
        <v>513</v>
      </c>
      <c r="D50" s="5" t="s">
        <v>3</v>
      </c>
      <c r="E50" s="1">
        <v>36.323586744639378</v>
      </c>
      <c r="H50" s="5" t="s">
        <v>3</v>
      </c>
      <c r="I50" s="1">
        <v>4.9591836734693882</v>
      </c>
    </row>
    <row r="56" spans="1:9" x14ac:dyDescent="0.25">
      <c r="A56" s="4" t="s">
        <v>4</v>
      </c>
      <c r="B56" t="s">
        <v>61</v>
      </c>
      <c r="C56" t="s">
        <v>62</v>
      </c>
    </row>
    <row r="57" spans="1:9" x14ac:dyDescent="0.25">
      <c r="A57" s="5" t="s">
        <v>39</v>
      </c>
      <c r="B57" s="2">
        <v>269</v>
      </c>
      <c r="C57" s="9">
        <v>0.52436647173489281</v>
      </c>
    </row>
    <row r="58" spans="1:9" x14ac:dyDescent="0.25">
      <c r="A58" s="5" t="s">
        <v>51</v>
      </c>
      <c r="B58" s="2">
        <v>244</v>
      </c>
      <c r="C58" s="9">
        <v>0.47563352826510719</v>
      </c>
    </row>
    <row r="59" spans="1:9" x14ac:dyDescent="0.25">
      <c r="A59" s="5" t="s">
        <v>3</v>
      </c>
      <c r="B59" s="2">
        <v>513</v>
      </c>
      <c r="C59" s="9">
        <v>1</v>
      </c>
    </row>
    <row r="61" spans="1:9" ht="14.25" customHeight="1" x14ac:dyDescent="0.25"/>
    <row r="62" spans="1:9" hidden="1" x14ac:dyDescent="0.25"/>
    <row r="63" spans="1:9" ht="21" customHeight="1" x14ac:dyDescent="0.25">
      <c r="B63" s="10" t="s">
        <v>63</v>
      </c>
      <c r="C63" s="10" t="s">
        <v>64</v>
      </c>
      <c r="D63" s="10" t="s">
        <v>65</v>
      </c>
      <c r="E63" s="10"/>
    </row>
    <row r="64" spans="1:9" ht="30.75" customHeight="1" x14ac:dyDescent="0.25">
      <c r="B64" s="11" t="str">
        <f>A58</f>
        <v>Not Admitted</v>
      </c>
      <c r="C64" s="11">
        <f>B58</f>
        <v>244</v>
      </c>
      <c r="D64" s="12">
        <f>C58</f>
        <v>0.47563352826510719</v>
      </c>
      <c r="E64" s="11"/>
    </row>
    <row r="65" spans="1:8" ht="31.5" customHeight="1" x14ac:dyDescent="0.25">
      <c r="B65" s="11" t="str">
        <f>A57</f>
        <v>Admitted</v>
      </c>
      <c r="C65" s="11">
        <f>B57</f>
        <v>269</v>
      </c>
      <c r="D65" s="12">
        <f>C57</f>
        <v>0.52436647173489281</v>
      </c>
      <c r="E65" s="11"/>
    </row>
    <row r="69" spans="1:8" x14ac:dyDescent="0.25">
      <c r="A69" s="4" t="s">
        <v>4</v>
      </c>
      <c r="B69" t="s">
        <v>66</v>
      </c>
      <c r="D69" s="4" t="s">
        <v>4</v>
      </c>
      <c r="E69" t="s">
        <v>67</v>
      </c>
    </row>
    <row r="70" spans="1:8" x14ac:dyDescent="0.25">
      <c r="A70" s="5" t="s">
        <v>42</v>
      </c>
      <c r="B70" s="13">
        <v>76</v>
      </c>
      <c r="D70" s="5" t="s">
        <v>43</v>
      </c>
      <c r="E70" s="13">
        <v>316</v>
      </c>
    </row>
    <row r="71" spans="1:8" x14ac:dyDescent="0.25">
      <c r="A71" s="5" t="s">
        <v>46</v>
      </c>
      <c r="B71" s="13">
        <v>69</v>
      </c>
      <c r="D71" s="5" t="s">
        <v>41</v>
      </c>
      <c r="E71" s="13">
        <v>197</v>
      </c>
    </row>
    <row r="72" spans="1:8" x14ac:dyDescent="0.25">
      <c r="A72" s="5" t="s">
        <v>40</v>
      </c>
      <c r="B72" s="13">
        <v>64</v>
      </c>
      <c r="D72" s="5" t="s">
        <v>3</v>
      </c>
      <c r="E72" s="13">
        <v>513</v>
      </c>
    </row>
    <row r="73" spans="1:8" x14ac:dyDescent="0.25">
      <c r="A73" s="5" t="s">
        <v>45</v>
      </c>
      <c r="B73" s="13">
        <v>59</v>
      </c>
    </row>
    <row r="74" spans="1:8" x14ac:dyDescent="0.25">
      <c r="A74" s="5" t="s">
        <v>44</v>
      </c>
      <c r="B74" s="13">
        <v>58</v>
      </c>
      <c r="H74" s="4" t="s">
        <v>4</v>
      </c>
    </row>
    <row r="75" spans="1:8" x14ac:dyDescent="0.25">
      <c r="A75" s="5" t="s">
        <v>48</v>
      </c>
      <c r="B75" s="13">
        <v>66</v>
      </c>
      <c r="H75" s="5" t="s">
        <v>70</v>
      </c>
    </row>
    <row r="76" spans="1:8" x14ac:dyDescent="0.25">
      <c r="A76" s="5" t="s">
        <v>47</v>
      </c>
      <c r="B76" s="13">
        <v>67</v>
      </c>
      <c r="H76" s="5" t="s">
        <v>3</v>
      </c>
    </row>
    <row r="77" spans="1:8" x14ac:dyDescent="0.25">
      <c r="A77" s="5" t="s">
        <v>49</v>
      </c>
      <c r="B77" s="13">
        <v>54</v>
      </c>
      <c r="D77" s="4" t="s">
        <v>4</v>
      </c>
      <c r="E77" t="s">
        <v>68</v>
      </c>
    </row>
    <row r="78" spans="1:8" x14ac:dyDescent="0.25">
      <c r="A78" s="5" t="s">
        <v>3</v>
      </c>
      <c r="B78" s="13">
        <v>513</v>
      </c>
      <c r="D78" s="5" t="s">
        <v>50</v>
      </c>
      <c r="E78" s="13">
        <v>241</v>
      </c>
    </row>
    <row r="79" spans="1:8" x14ac:dyDescent="0.25">
      <c r="D79" s="5" t="s">
        <v>37</v>
      </c>
      <c r="E79" s="13">
        <v>272</v>
      </c>
    </row>
    <row r="80" spans="1:8" x14ac:dyDescent="0.25">
      <c r="D80" s="5" t="s">
        <v>3</v>
      </c>
      <c r="E80" s="13">
        <v>513</v>
      </c>
    </row>
    <row r="84" spans="2:3" x14ac:dyDescent="0.25">
      <c r="B84" s="4" t="s">
        <v>4</v>
      </c>
      <c r="C84" t="s">
        <v>69</v>
      </c>
    </row>
    <row r="85" spans="2:3" x14ac:dyDescent="0.25">
      <c r="B85" s="5" t="s">
        <v>57</v>
      </c>
      <c r="C85" s="13">
        <v>4</v>
      </c>
    </row>
    <row r="86" spans="2:3" x14ac:dyDescent="0.25">
      <c r="B86" s="5" t="s">
        <v>58</v>
      </c>
      <c r="C86" s="13">
        <v>5</v>
      </c>
    </row>
    <row r="87" spans="2:3" x14ac:dyDescent="0.25">
      <c r="B87" s="5" t="s">
        <v>56</v>
      </c>
      <c r="C87" s="13">
        <v>9</v>
      </c>
    </row>
    <row r="88" spans="2:3" x14ac:dyDescent="0.25">
      <c r="B88" s="5" t="s">
        <v>54</v>
      </c>
      <c r="C88" s="13">
        <v>14</v>
      </c>
    </row>
    <row r="89" spans="2:3" x14ac:dyDescent="0.25">
      <c r="B89" s="5" t="s">
        <v>55</v>
      </c>
      <c r="C89" s="13">
        <v>14</v>
      </c>
    </row>
    <row r="90" spans="2:3" x14ac:dyDescent="0.25">
      <c r="B90" s="5" t="s">
        <v>53</v>
      </c>
      <c r="C90" s="13">
        <v>65</v>
      </c>
    </row>
    <row r="91" spans="2:3" x14ac:dyDescent="0.25">
      <c r="B91" s="5" t="s">
        <v>52</v>
      </c>
      <c r="C91" s="13">
        <v>103</v>
      </c>
    </row>
    <row r="92" spans="2:3" x14ac:dyDescent="0.25">
      <c r="B92" s="5" t="s">
        <v>38</v>
      </c>
      <c r="C92" s="13">
        <v>299</v>
      </c>
    </row>
    <row r="93" spans="2:3" x14ac:dyDescent="0.25">
      <c r="B93" s="5" t="s">
        <v>3</v>
      </c>
      <c r="C93" s="13">
        <v>513</v>
      </c>
    </row>
  </sheetData>
  <phoneticPr fontId="6" type="noConversion"/>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19DE-F4F4-47B3-8F6F-3D08CD841EBC}">
  <dimension ref="A1:AM56"/>
  <sheetViews>
    <sheetView tabSelected="1" zoomScale="90" zoomScaleNormal="90" workbookViewId="0">
      <selection activeCell="R15" sqref="R15"/>
    </sheetView>
  </sheetViews>
  <sheetFormatPr defaultRowHeight="15" x14ac:dyDescent="0.25"/>
  <sheetData>
    <row r="1" spans="1:39"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spans="1:39"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row>
    <row r="6" spans="1:39"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1:39"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spans="1:39"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spans="1:39"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spans="1:39"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1:39"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spans="1:39"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spans="1:39"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spans="1:39"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spans="1:39"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spans="1:39"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spans="1:39"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spans="1:39"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1:39"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spans="1:39"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spans="1:39"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spans="1:39"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spans="1:39"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spans="1:39"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spans="1:39"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spans="1:39"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1:39"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spans="1:39"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spans="1:39"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spans="1:39"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spans="1:39"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spans="1:39"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spans="1:39"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spans="1:39"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spans="1:39"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1:39"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spans="1:39"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spans="1:39"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spans="1:39"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spans="1:39"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spans="1:37"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spans="1:37"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spans="1:37"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spans="1:37"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spans="1:37"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spans="1:37"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E4E0-8680-467A-AB62-AE6D26B2A820}">
  <dimension ref="A1:AD43"/>
  <sheetViews>
    <sheetView zoomScaleNormal="100" workbookViewId="0">
      <selection activeCell="V35" sqref="V35"/>
    </sheetView>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ht="24" x14ac:dyDescent="0.4">
      <c r="A35" s="6"/>
      <c r="B35" s="6"/>
      <c r="C35" s="7"/>
      <c r="D35" s="7" t="s">
        <v>60</v>
      </c>
      <c r="E35" s="7"/>
      <c r="F35" s="7"/>
      <c r="G35" s="7"/>
      <c r="H35" s="7"/>
      <c r="I35" s="7"/>
      <c r="J35" s="7"/>
      <c r="K35" s="7"/>
      <c r="L35" s="7"/>
      <c r="M35" s="7"/>
      <c r="N35" s="6"/>
      <c r="O35" s="6"/>
      <c r="P35" s="6"/>
      <c r="Q35" s="6"/>
      <c r="R35" s="6"/>
      <c r="S35" s="6"/>
      <c r="T35" s="6"/>
      <c r="U35" s="6"/>
      <c r="V35" s="6"/>
      <c r="W35" s="6"/>
      <c r="X35" s="6"/>
      <c r="Y35" s="6"/>
      <c r="Z35" s="6"/>
      <c r="AA35" s="6"/>
      <c r="AB35" s="6"/>
      <c r="AC35" s="6"/>
      <c r="AD35" s="6"/>
    </row>
    <row r="36" spans="1:30"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30"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30"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30"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30"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E1C1-0965-4838-BE8E-602ED1385B13}">
  <dimension ref="A1:AD42"/>
  <sheetViews>
    <sheetView zoomScaleNormal="100" workbookViewId="0"/>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ht="24" x14ac:dyDescent="0.4">
      <c r="A34" s="6"/>
      <c r="B34" s="6"/>
      <c r="C34" s="6"/>
      <c r="D34" s="7" t="s">
        <v>59</v>
      </c>
      <c r="E34" s="7"/>
      <c r="F34" s="7"/>
      <c r="G34" s="7"/>
      <c r="H34" s="7"/>
      <c r="I34" s="7"/>
      <c r="J34" s="7"/>
      <c r="K34" s="7"/>
      <c r="L34" s="7"/>
      <c r="M34" s="7"/>
      <c r="N34" s="7"/>
      <c r="O34" s="8"/>
      <c r="P34" s="8"/>
      <c r="Q34" s="8"/>
      <c r="R34" s="8"/>
      <c r="S34" s="6"/>
      <c r="T34" s="6"/>
      <c r="U34" s="6"/>
      <c r="V34" s="6"/>
      <c r="W34" s="6"/>
      <c r="X34" s="6"/>
      <c r="Y34" s="6"/>
      <c r="Z34" s="6"/>
      <c r="AA34" s="6"/>
      <c r="AB34" s="6"/>
      <c r="AC34" s="6"/>
      <c r="AD34" s="6"/>
    </row>
    <row r="35" spans="1:30" ht="23.25" x14ac:dyDescent="0.35">
      <c r="A35" s="6"/>
      <c r="B35" s="6"/>
      <c r="C35" s="6"/>
      <c r="D35" s="8"/>
      <c r="E35" s="8"/>
      <c r="F35" s="8"/>
      <c r="G35" s="8"/>
      <c r="H35" s="8"/>
      <c r="I35" s="8"/>
      <c r="J35" s="8"/>
      <c r="K35" s="8"/>
      <c r="L35" s="8"/>
      <c r="M35" s="8"/>
      <c r="N35" s="8"/>
      <c r="O35" s="8"/>
      <c r="P35" s="8"/>
      <c r="Q35" s="8"/>
      <c r="R35" s="8"/>
      <c r="S35" s="6"/>
      <c r="T35" s="6"/>
      <c r="U35" s="6"/>
      <c r="V35" s="6"/>
      <c r="W35" s="6"/>
      <c r="X35" s="6"/>
      <c r="Y35" s="6"/>
      <c r="Z35" s="6"/>
      <c r="AA35" s="6"/>
      <c r="AB35" s="6"/>
      <c r="AC35" s="6"/>
      <c r="AD35" s="6"/>
    </row>
    <row r="36" spans="1:30" ht="24" x14ac:dyDescent="0.4">
      <c r="A36" s="6"/>
      <c r="B36" s="6"/>
      <c r="C36" s="6"/>
      <c r="D36" s="7"/>
      <c r="E36" s="7"/>
      <c r="F36" s="7"/>
      <c r="G36" s="7"/>
      <c r="H36" s="7"/>
      <c r="I36" s="7"/>
      <c r="J36" s="7"/>
      <c r="K36" s="7"/>
      <c r="L36" s="7"/>
      <c r="M36" s="7"/>
      <c r="N36" s="7"/>
      <c r="O36" s="8"/>
      <c r="P36" s="8"/>
      <c r="Q36" s="8"/>
      <c r="R36" s="8"/>
      <c r="S36" s="6"/>
      <c r="T36" s="6"/>
      <c r="U36" s="6"/>
      <c r="V36" s="6"/>
      <c r="W36" s="6"/>
      <c r="X36" s="6"/>
      <c r="Y36" s="6"/>
      <c r="Z36" s="6"/>
      <c r="AA36" s="6"/>
      <c r="AB36" s="6"/>
      <c r="AC36" s="6"/>
      <c r="AD36" s="6"/>
    </row>
    <row r="37" spans="1:30"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30"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30"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30"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30"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F992-5C9C-4B53-A09B-D0FDB6327CCF}">
  <dimension ref="A1:AD40"/>
  <sheetViews>
    <sheetView zoomScale="120" zoomScaleNormal="120" workbookViewId="0"/>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ht="24" x14ac:dyDescent="0.4">
      <c r="A34" s="6"/>
      <c r="B34" s="6"/>
      <c r="C34" s="6"/>
      <c r="D34" s="7" t="s">
        <v>36</v>
      </c>
      <c r="E34" s="7"/>
      <c r="F34" s="7"/>
      <c r="G34" s="7"/>
      <c r="H34" s="7"/>
      <c r="I34" s="7"/>
      <c r="J34" s="7"/>
      <c r="K34" s="7"/>
      <c r="L34" s="7"/>
      <c r="M34" s="7"/>
      <c r="N34" s="6"/>
      <c r="O34" s="6"/>
      <c r="P34" s="6"/>
      <c r="Q34" s="6"/>
      <c r="R34" s="6"/>
      <c r="S34" s="6"/>
      <c r="T34" s="6"/>
      <c r="U34" s="6"/>
      <c r="V34" s="6"/>
      <c r="W34" s="6"/>
      <c r="X34" s="6"/>
      <c r="Y34" s="6"/>
      <c r="Z34" s="6"/>
      <c r="AA34" s="6"/>
      <c r="AB34" s="6"/>
      <c r="AC34" s="6"/>
      <c r="AD34" s="6"/>
    </row>
    <row r="35" spans="1:30"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7840F11-0637-4091-92BF-8C87E85B3026}">
  <ds:schemaRefs/>
</ds:datastoreItem>
</file>

<file path=customXml/itemProps2.xml><?xml version="1.0" encoding="utf-8"?>
<ds:datastoreItem xmlns:ds="http://schemas.openxmlformats.org/officeDocument/2006/customXml" ds:itemID="{0D5793DF-384A-404E-873D-40D52DB38BEE}">
  <ds:schemaRefs/>
</ds:datastoreItem>
</file>

<file path=customXml/itemProps3.xml><?xml version="1.0" encoding="utf-8"?>
<ds:datastoreItem xmlns:ds="http://schemas.openxmlformats.org/officeDocument/2006/customXml" ds:itemID="{9F04288F-418A-4505-8F02-6AF355E0FEBC}">
  <ds:schemaRefs/>
</ds:datastoreItem>
</file>

<file path=customXml/itemProps4.xml><?xml version="1.0" encoding="utf-8"?>
<ds:datastoreItem xmlns:ds="http://schemas.openxmlformats.org/officeDocument/2006/customXml" ds:itemID="{950FBE23-311F-40F4-AC69-A8C5CE138786}">
  <ds:schemaRefs/>
</ds:datastoreItem>
</file>

<file path=customXml/itemProps5.xml><?xml version="1.0" encoding="utf-8"?>
<ds:datastoreItem xmlns:ds="http://schemas.openxmlformats.org/officeDocument/2006/customXml" ds:itemID="{3E8F81D0-BE01-40DB-BF26-C05771375D6D}">
  <ds:schemaRefs/>
</ds:datastoreItem>
</file>

<file path=customXml/itemProps6.xml><?xml version="1.0" encoding="utf-8"?>
<ds:datastoreItem xmlns:ds="http://schemas.openxmlformats.org/officeDocument/2006/customXml" ds:itemID="{5C8FF5C1-1B55-4E3D-A689-ABEC0115EAA2}">
  <ds:schemaRefs/>
</ds:datastoreItem>
</file>

<file path=customXml/itemProps7.xml><?xml version="1.0" encoding="utf-8"?>
<ds:datastoreItem xmlns:ds="http://schemas.openxmlformats.org/officeDocument/2006/customXml" ds:itemID="{58B5D9DC-B2DF-4D86-AB98-54D794716749}">
  <ds:schemaRefs/>
</ds:datastoreItem>
</file>

<file path=customXml/itemProps8.xml><?xml version="1.0" encoding="utf-8"?>
<ds:datastoreItem xmlns:ds="http://schemas.openxmlformats.org/officeDocument/2006/customXml" ds:itemID="{AD647060-9BF0-4B41-ABF4-5434E32EF9C5}">
  <ds:schemaRefs/>
</ds:datastoreItem>
</file>

<file path=customXml/itemProps9.xml><?xml version="1.0" encoding="utf-8"?>
<ds:datastoreItem xmlns:ds="http://schemas.openxmlformats.org/officeDocument/2006/customXml" ds:itemID="{757F275B-6F32-4C63-A8D9-462F3F4D1E1D}">
  <ds:schemaRefs>
    <ds:schemaRef ds:uri="http://schemas.microsoft.com/DataMashup"/>
  </ds:schemaRefs>
</ds:datastoreItem>
</file>

<file path=customXml/itemProps10.xml><?xml version="1.0" encoding="utf-8"?>
<ds:datastoreItem xmlns:ds="http://schemas.openxmlformats.org/officeDocument/2006/customXml" ds:itemID="{550B880B-4A8B-47FC-91E5-C113F0D4BFB2}">
  <ds:schemaRefs/>
</ds:datastoreItem>
</file>

<file path=customXml/itemProps11.xml><?xml version="1.0" encoding="utf-8"?>
<ds:datastoreItem xmlns:ds="http://schemas.openxmlformats.org/officeDocument/2006/customXml" ds:itemID="{021828D9-8D15-4E78-A307-87F2C2CBDDFE}">
  <ds:schemaRefs/>
</ds:datastoreItem>
</file>

<file path=customXml/itemProps12.xml><?xml version="1.0" encoding="utf-8"?>
<ds:datastoreItem xmlns:ds="http://schemas.openxmlformats.org/officeDocument/2006/customXml" ds:itemID="{884DF6A9-3388-4BA2-9D3C-5E82DDB1CB9C}">
  <ds:schemaRefs/>
</ds:datastoreItem>
</file>

<file path=customXml/itemProps13.xml><?xml version="1.0" encoding="utf-8"?>
<ds:datastoreItem xmlns:ds="http://schemas.openxmlformats.org/officeDocument/2006/customXml" ds:itemID="{05FCC278-7520-434F-AFA4-D384734700ED}">
  <ds:schemaRefs/>
</ds:datastoreItem>
</file>

<file path=customXml/itemProps14.xml><?xml version="1.0" encoding="utf-8"?>
<ds:datastoreItem xmlns:ds="http://schemas.openxmlformats.org/officeDocument/2006/customXml" ds:itemID="{90581BEA-B3B7-4D32-8946-E54772B72CA1}">
  <ds:schemaRefs/>
</ds:datastoreItem>
</file>

<file path=customXml/itemProps15.xml><?xml version="1.0" encoding="utf-8"?>
<ds:datastoreItem xmlns:ds="http://schemas.openxmlformats.org/officeDocument/2006/customXml" ds:itemID="{B37C6AA4-6DA8-4353-8227-B2268190ABBE}">
  <ds:schemaRefs/>
</ds:datastoreItem>
</file>

<file path=customXml/itemProps16.xml><?xml version="1.0" encoding="utf-8"?>
<ds:datastoreItem xmlns:ds="http://schemas.openxmlformats.org/officeDocument/2006/customXml" ds:itemID="{F28CFE3E-2375-4BA0-BC5D-26CCE83D46A4}">
  <ds:schemaRefs/>
</ds:datastoreItem>
</file>

<file path=customXml/itemProps17.xml><?xml version="1.0" encoding="utf-8"?>
<ds:datastoreItem xmlns:ds="http://schemas.openxmlformats.org/officeDocument/2006/customXml" ds:itemID="{5E29D962-BC14-4C2C-B3ED-831EB5D84CF4}">
  <ds:schemaRefs/>
</ds:datastoreItem>
</file>

<file path=customXml/itemProps18.xml><?xml version="1.0" encoding="utf-8"?>
<ds:datastoreItem xmlns:ds="http://schemas.openxmlformats.org/officeDocument/2006/customXml" ds:itemID="{9A92B010-D8A6-4E3F-9A17-8E169A8F48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vt:lpstr>
      <vt:lpstr>Average waittime daily trend</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SHARMA</dc:creator>
  <cp:lastModifiedBy>Saumya SHARMA</cp:lastModifiedBy>
  <dcterms:created xsi:type="dcterms:W3CDTF">2026-02-08T14:07:59Z</dcterms:created>
  <dcterms:modified xsi:type="dcterms:W3CDTF">2026-02-14T14:58:20Z</dcterms:modified>
</cp:coreProperties>
</file>